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dev\roi-dashboard\"/>
    </mc:Choice>
  </mc:AlternateContent>
  <xr:revisionPtr revIDLastSave="0" documentId="13_ncr:1_{E6ED3C49-7DE9-4105-90C9-58FD785400E9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PM별(26)" sheetId="5" r:id="rId1"/>
    <sheet name="26 월별 실적" sheetId="4" state="hidden" r:id="rId2"/>
    <sheet name="Sheet1" sheetId="7" r:id="rId3"/>
    <sheet name="세부정보2-박효신-국토교통과학기술진흥원(KAIA)" sheetId="6" state="hidden" r:id="rId4"/>
  </sheets>
  <definedNames>
    <definedName name="_xlnm._FilterDatabase" localSheetId="0" hidden="1">'PM별(26)'!$A$1:$D$27</definedName>
  </definedNames>
  <calcPr calcId="181029"/>
</workbook>
</file>

<file path=xl/calcChain.xml><?xml version="1.0" encoding="utf-8"?>
<calcChain xmlns="http://schemas.openxmlformats.org/spreadsheetml/2006/main">
  <c r="M6" i="5" l="1"/>
  <c r="L6" i="5"/>
  <c r="M5" i="5"/>
  <c r="L5" i="5"/>
  <c r="M4" i="5"/>
  <c r="L4" i="5"/>
  <c r="M3" i="5"/>
  <c r="L3" i="5"/>
  <c r="M2" i="5"/>
  <c r="L2" i="5"/>
  <c r="T223" i="4"/>
  <c r="U221" i="4"/>
  <c r="U222" i="4" s="1"/>
  <c r="T221" i="4"/>
  <c r="T222" i="4" s="1"/>
  <c r="S221" i="4"/>
  <c r="S222" i="4" s="1"/>
  <c r="S223" i="4" s="1"/>
  <c r="R221" i="4"/>
  <c r="R222" i="4" s="1"/>
  <c r="Q221" i="4"/>
  <c r="Q222" i="4" s="1"/>
  <c r="P221" i="4"/>
  <c r="O221" i="4"/>
  <c r="N221" i="4"/>
  <c r="M221" i="4"/>
  <c r="L221" i="4"/>
  <c r="L222" i="4" s="1"/>
  <c r="L223" i="4" s="1"/>
  <c r="K221" i="4"/>
  <c r="J221" i="4"/>
  <c r="I221" i="4"/>
  <c r="I222" i="4" s="1"/>
  <c r="H220" i="4"/>
  <c r="F220" i="4"/>
  <c r="H219" i="4"/>
  <c r="F219" i="4"/>
  <c r="N218" i="4"/>
  <c r="G217" i="4"/>
  <c r="G218" i="4" s="1"/>
  <c r="F217" i="4"/>
  <c r="F218" i="4" s="1"/>
  <c r="U216" i="4"/>
  <c r="T216" i="4"/>
  <c r="S216" i="4"/>
  <c r="R216" i="4"/>
  <c r="R217" i="4" s="1"/>
  <c r="R218" i="4" s="1"/>
  <c r="Q216" i="4"/>
  <c r="Q217" i="4" s="1"/>
  <c r="Q218" i="4" s="1"/>
  <c r="P216" i="4"/>
  <c r="P217" i="4" s="1"/>
  <c r="O216" i="4"/>
  <c r="O217" i="4" s="1"/>
  <c r="O218" i="4" s="1"/>
  <c r="N216" i="4"/>
  <c r="N217" i="4" s="1"/>
  <c r="M216" i="4"/>
  <c r="L216" i="4"/>
  <c r="L217" i="4" s="1"/>
  <c r="L218" i="4" s="1"/>
  <c r="K216" i="4"/>
  <c r="J216" i="4"/>
  <c r="I216" i="4"/>
  <c r="H215" i="4"/>
  <c r="G215" i="4" s="1"/>
  <c r="H214" i="4"/>
  <c r="G214" i="4" s="1"/>
  <c r="H213" i="4"/>
  <c r="H212" i="4"/>
  <c r="H211" i="4"/>
  <c r="H210" i="4"/>
  <c r="H209" i="4"/>
  <c r="G209" i="4" s="1"/>
  <c r="U206" i="4"/>
  <c r="U207" i="4" s="1"/>
  <c r="U208" i="4" s="1"/>
  <c r="T206" i="4"/>
  <c r="S206" i="4"/>
  <c r="S207" i="4" s="1"/>
  <c r="S208" i="4" s="1"/>
  <c r="R206" i="4"/>
  <c r="R207" i="4" s="1"/>
  <c r="Q206" i="4"/>
  <c r="P206" i="4"/>
  <c r="P207" i="4" s="1"/>
  <c r="O206" i="4"/>
  <c r="O207" i="4" s="1"/>
  <c r="N206" i="4"/>
  <c r="N207" i="4" s="1"/>
  <c r="M206" i="4"/>
  <c r="L206" i="4"/>
  <c r="K206" i="4"/>
  <c r="J206" i="4"/>
  <c r="I206" i="4"/>
  <c r="H205" i="4"/>
  <c r="F205" i="4"/>
  <c r="H204" i="4"/>
  <c r="F204" i="4"/>
  <c r="U201" i="4"/>
  <c r="U202" i="4" s="1"/>
  <c r="T201" i="4"/>
  <c r="S201" i="4"/>
  <c r="S202" i="4" s="1"/>
  <c r="S203" i="4" s="1"/>
  <c r="R201" i="4"/>
  <c r="R202" i="4" s="1"/>
  <c r="Q201" i="4"/>
  <c r="P201" i="4"/>
  <c r="O201" i="4"/>
  <c r="O202" i="4" s="1"/>
  <c r="O203" i="4" s="1"/>
  <c r="N201" i="4"/>
  <c r="N202" i="4" s="1"/>
  <c r="M201" i="4"/>
  <c r="M202" i="4" s="1"/>
  <c r="M203" i="4" s="1"/>
  <c r="L201" i="4"/>
  <c r="L202" i="4" s="1"/>
  <c r="K201" i="4"/>
  <c r="K202" i="4" s="1"/>
  <c r="J201" i="4"/>
  <c r="I201" i="4"/>
  <c r="H200" i="4"/>
  <c r="F200" i="4"/>
  <c r="G200" i="4" s="1"/>
  <c r="H199" i="4"/>
  <c r="F199" i="4"/>
  <c r="H198" i="4"/>
  <c r="F198" i="4"/>
  <c r="H197" i="4"/>
  <c r="F197" i="4"/>
  <c r="U194" i="4"/>
  <c r="T194" i="4"/>
  <c r="T195" i="4" s="1"/>
  <c r="T196" i="4" s="1"/>
  <c r="S194" i="4"/>
  <c r="S195" i="4" s="1"/>
  <c r="R194" i="4"/>
  <c r="R195" i="4" s="1"/>
  <c r="Q194" i="4"/>
  <c r="Q195" i="4" s="1"/>
  <c r="Q196" i="4" s="1"/>
  <c r="P194" i="4"/>
  <c r="P195" i="4" s="1"/>
  <c r="O194" i="4"/>
  <c r="O195" i="4" s="1"/>
  <c r="N194" i="4"/>
  <c r="M194" i="4"/>
  <c r="L194" i="4"/>
  <c r="K194" i="4"/>
  <c r="J194" i="4"/>
  <c r="J195" i="4" s="1"/>
  <c r="I194" i="4"/>
  <c r="H193" i="4"/>
  <c r="F193" i="4"/>
  <c r="H192" i="4"/>
  <c r="F192" i="4"/>
  <c r="H191" i="4"/>
  <c r="F191" i="4"/>
  <c r="H190" i="4"/>
  <c r="F190" i="4"/>
  <c r="H189" i="4"/>
  <c r="F189" i="4"/>
  <c r="O185" i="4"/>
  <c r="O186" i="4" s="1"/>
  <c r="O188" i="4" s="1"/>
  <c r="H184" i="4"/>
  <c r="F184" i="4"/>
  <c r="H183" i="4"/>
  <c r="F183" i="4"/>
  <c r="H182" i="4"/>
  <c r="F182" i="4"/>
  <c r="H181" i="4"/>
  <c r="F181" i="4"/>
  <c r="H180" i="4"/>
  <c r="F180" i="4"/>
  <c r="H179" i="4"/>
  <c r="F179" i="4"/>
  <c r="U176" i="4"/>
  <c r="U177" i="4" s="1"/>
  <c r="T176" i="4"/>
  <c r="T177" i="4" s="1"/>
  <c r="T178" i="4" s="1"/>
  <c r="S176" i="4"/>
  <c r="R176" i="4"/>
  <c r="R177" i="4" s="1"/>
  <c r="R178" i="4" s="1"/>
  <c r="Q176" i="4"/>
  <c r="P176" i="4"/>
  <c r="P177" i="4" s="1"/>
  <c r="P178" i="4" s="1"/>
  <c r="O176" i="4"/>
  <c r="N176" i="4"/>
  <c r="N177" i="4" s="1"/>
  <c r="N178" i="4" s="1"/>
  <c r="M176" i="4"/>
  <c r="M177" i="4" s="1"/>
  <c r="L176" i="4"/>
  <c r="L177" i="4" s="1"/>
  <c r="K176" i="4"/>
  <c r="K177" i="4" s="1"/>
  <c r="J176" i="4"/>
  <c r="J177" i="4" s="1"/>
  <c r="I176" i="4"/>
  <c r="I177" i="4" s="1"/>
  <c r="H175" i="4"/>
  <c r="F175" i="4"/>
  <c r="H174" i="4"/>
  <c r="F174" i="4"/>
  <c r="H173" i="4"/>
  <c r="F173" i="4"/>
  <c r="H172" i="4"/>
  <c r="F172" i="4"/>
  <c r="H171" i="4"/>
  <c r="F171" i="4"/>
  <c r="H170" i="4"/>
  <c r="F170" i="4"/>
  <c r="H169" i="4"/>
  <c r="F169" i="4"/>
  <c r="H168" i="4"/>
  <c r="F168" i="4"/>
  <c r="U165" i="4"/>
  <c r="U166" i="4" s="1"/>
  <c r="T165" i="4"/>
  <c r="T166" i="4" s="1"/>
  <c r="S165" i="4"/>
  <c r="S166" i="4" s="1"/>
  <c r="S167" i="4" s="1"/>
  <c r="R165" i="4"/>
  <c r="R166" i="4" s="1"/>
  <c r="Q165" i="4"/>
  <c r="P165" i="4"/>
  <c r="P166" i="4" s="1"/>
  <c r="P167" i="4" s="1"/>
  <c r="O165" i="4"/>
  <c r="O166" i="4" s="1"/>
  <c r="O167" i="4" s="1"/>
  <c r="N165" i="4"/>
  <c r="N166" i="4" s="1"/>
  <c r="N167" i="4" s="1"/>
  <c r="M165" i="4"/>
  <c r="M166" i="4" s="1"/>
  <c r="M167" i="4" s="1"/>
  <c r="H164" i="4"/>
  <c r="F164" i="4"/>
  <c r="H163" i="4"/>
  <c r="F163" i="4"/>
  <c r="H162" i="4"/>
  <c r="F162" i="4"/>
  <c r="H161" i="4"/>
  <c r="F161" i="4"/>
  <c r="H160" i="4"/>
  <c r="F160" i="4"/>
  <c r="U157" i="4"/>
  <c r="U158" i="4" s="1"/>
  <c r="U159" i="4" s="1"/>
  <c r="T157" i="4"/>
  <c r="S157" i="4"/>
  <c r="S158" i="4" s="1"/>
  <c r="R157" i="4"/>
  <c r="R158" i="4" s="1"/>
  <c r="R159" i="4" s="1"/>
  <c r="Q157" i="4"/>
  <c r="Q158" i="4" s="1"/>
  <c r="P157" i="4"/>
  <c r="P158" i="4" s="1"/>
  <c r="O157" i="4"/>
  <c r="O158" i="4" s="1"/>
  <c r="N157" i="4"/>
  <c r="N158" i="4" s="1"/>
  <c r="N159" i="4" s="1"/>
  <c r="M157" i="4"/>
  <c r="L157" i="4"/>
  <c r="L158" i="4" s="1"/>
  <c r="L159" i="4" s="1"/>
  <c r="K157" i="4"/>
  <c r="J157" i="4"/>
  <c r="J158" i="4" s="1"/>
  <c r="H156" i="4"/>
  <c r="F156" i="4"/>
  <c r="H155" i="4"/>
  <c r="F155" i="4"/>
  <c r="H154" i="4"/>
  <c r="F154" i="4"/>
  <c r="H153" i="4"/>
  <c r="F153" i="4"/>
  <c r="H152" i="4"/>
  <c r="F152" i="4"/>
  <c r="H151" i="4"/>
  <c r="F151" i="4"/>
  <c r="H150" i="4"/>
  <c r="F150" i="4"/>
  <c r="H149" i="4"/>
  <c r="F149" i="4"/>
  <c r="H148" i="4"/>
  <c r="F148" i="4"/>
  <c r="H144" i="4"/>
  <c r="F144" i="4"/>
  <c r="H143" i="4"/>
  <c r="F143" i="4"/>
  <c r="H142" i="4"/>
  <c r="F142" i="4"/>
  <c r="F145" i="4" s="1"/>
  <c r="F146" i="4" s="1"/>
  <c r="M145" i="4"/>
  <c r="O141" i="4"/>
  <c r="N141" i="4"/>
  <c r="M141" i="4"/>
  <c r="L141" i="4"/>
  <c r="H140" i="4"/>
  <c r="F140" i="4"/>
  <c r="H139" i="4"/>
  <c r="F139" i="4"/>
  <c r="H138" i="4"/>
  <c r="F138" i="4"/>
  <c r="H137" i="4"/>
  <c r="F137" i="4"/>
  <c r="D133" i="4"/>
  <c r="H133" i="4" s="1"/>
  <c r="D132" i="4"/>
  <c r="D131" i="4"/>
  <c r="F131" i="4" s="1"/>
  <c r="D130" i="4"/>
  <c r="H130" i="4" s="1"/>
  <c r="D129" i="4"/>
  <c r="H129" i="4" s="1"/>
  <c r="D128" i="4"/>
  <c r="F128" i="4" s="1"/>
  <c r="D127" i="4"/>
  <c r="F127" i="4" s="1"/>
  <c r="D126" i="4"/>
  <c r="U123" i="4"/>
  <c r="T123" i="4"/>
  <c r="S123" i="4"/>
  <c r="S124" i="4" s="1"/>
  <c r="S125" i="4" s="1"/>
  <c r="R123" i="4"/>
  <c r="R124" i="4" s="1"/>
  <c r="R125" i="4" s="1"/>
  <c r="Q123" i="4"/>
  <c r="Q124" i="4" s="1"/>
  <c r="Q125" i="4" s="1"/>
  <c r="P123" i="4"/>
  <c r="P124" i="4" s="1"/>
  <c r="O123" i="4"/>
  <c r="N123" i="4"/>
  <c r="M123" i="4"/>
  <c r="L123" i="4"/>
  <c r="L124" i="4" s="1"/>
  <c r="K123" i="4"/>
  <c r="K124" i="4" s="1"/>
  <c r="H122" i="4"/>
  <c r="F122" i="4"/>
  <c r="H121" i="4"/>
  <c r="F121" i="4"/>
  <c r="H120" i="4"/>
  <c r="F120" i="4"/>
  <c r="H119" i="4"/>
  <c r="F119" i="4"/>
  <c r="U116" i="4"/>
  <c r="U117" i="4" s="1"/>
  <c r="U118" i="4" s="1"/>
  <c r="T116" i="4"/>
  <c r="S116" i="4"/>
  <c r="S117" i="4" s="1"/>
  <c r="R116" i="4"/>
  <c r="Q116" i="4"/>
  <c r="P116" i="4"/>
  <c r="P117" i="4" s="1"/>
  <c r="P118" i="4" s="1"/>
  <c r="O116" i="4"/>
  <c r="N116" i="4"/>
  <c r="N117" i="4" s="1"/>
  <c r="N118" i="4" s="1"/>
  <c r="M116" i="4"/>
  <c r="M117" i="4" s="1"/>
  <c r="L116" i="4"/>
  <c r="L117" i="4" s="1"/>
  <c r="K116" i="4"/>
  <c r="K117" i="4" s="1"/>
  <c r="K118" i="4" s="1"/>
  <c r="J116" i="4"/>
  <c r="J117" i="4" s="1"/>
  <c r="F116" i="4"/>
  <c r="H115" i="4"/>
  <c r="G115" i="4" s="1"/>
  <c r="H114" i="4"/>
  <c r="G114" i="4" s="1"/>
  <c r="H113" i="4"/>
  <c r="G113" i="4" s="1"/>
  <c r="H112" i="4"/>
  <c r="G112" i="4" s="1"/>
  <c r="F110" i="4"/>
  <c r="F111" i="4" s="1"/>
  <c r="U109" i="4"/>
  <c r="U110" i="4" s="1"/>
  <c r="T109" i="4"/>
  <c r="S109" i="4"/>
  <c r="R109" i="4"/>
  <c r="R110" i="4" s="1"/>
  <c r="R111" i="4" s="1"/>
  <c r="Q109" i="4"/>
  <c r="P109" i="4"/>
  <c r="P110" i="4" s="1"/>
  <c r="P111" i="4" s="1"/>
  <c r="O109" i="4"/>
  <c r="O110" i="4" s="1"/>
  <c r="N109" i="4"/>
  <c r="N110" i="4" s="1"/>
  <c r="M109" i="4"/>
  <c r="M110" i="4" s="1"/>
  <c r="L109" i="4"/>
  <c r="L110" i="4" s="1"/>
  <c r="L111" i="4" s="1"/>
  <c r="K109" i="4"/>
  <c r="K110" i="4" s="1"/>
  <c r="J109" i="4"/>
  <c r="J110" i="4" s="1"/>
  <c r="H108" i="4"/>
  <c r="F108" i="4"/>
  <c r="H107" i="4"/>
  <c r="F107" i="4"/>
  <c r="H106" i="4"/>
  <c r="F106" i="4"/>
  <c r="H105" i="4"/>
  <c r="F105" i="4"/>
  <c r="H104" i="4"/>
  <c r="F104" i="4"/>
  <c r="U101" i="4"/>
  <c r="U102" i="4" s="1"/>
  <c r="T101" i="4"/>
  <c r="S101" i="4"/>
  <c r="S102" i="4" s="1"/>
  <c r="S103" i="4" s="1"/>
  <c r="R101" i="4"/>
  <c r="R102" i="4" s="1"/>
  <c r="Q101" i="4"/>
  <c r="Q102" i="4" s="1"/>
  <c r="P101" i="4"/>
  <c r="P102" i="4" s="1"/>
  <c r="O101" i="4"/>
  <c r="N101" i="4"/>
  <c r="N102" i="4" s="1"/>
  <c r="N103" i="4" s="1"/>
  <c r="M101" i="4"/>
  <c r="M102" i="4" s="1"/>
  <c r="M103" i="4" s="1"/>
  <c r="L101" i="4"/>
  <c r="L102" i="4" s="1"/>
  <c r="K101" i="4"/>
  <c r="K102" i="4" s="1"/>
  <c r="J101" i="4"/>
  <c r="J102" i="4" s="1"/>
  <c r="I101" i="4"/>
  <c r="H100" i="4"/>
  <c r="F100" i="4"/>
  <c r="H99" i="4"/>
  <c r="F99" i="4"/>
  <c r="H98" i="4"/>
  <c r="F98" i="4"/>
  <c r="H97" i="4"/>
  <c r="F97" i="4"/>
  <c r="K95" i="4"/>
  <c r="U94" i="4"/>
  <c r="U95" i="4" s="1"/>
  <c r="T94" i="4"/>
  <c r="T95" i="4" s="1"/>
  <c r="S94" i="4"/>
  <c r="S95" i="4" s="1"/>
  <c r="S96" i="4" s="1"/>
  <c r="R94" i="4"/>
  <c r="Q94" i="4"/>
  <c r="Q95" i="4" s="1"/>
  <c r="Q96" i="4" s="1"/>
  <c r="P94" i="4"/>
  <c r="P95" i="4" s="1"/>
  <c r="O94" i="4"/>
  <c r="N94" i="4"/>
  <c r="N95" i="4" s="1"/>
  <c r="M94" i="4"/>
  <c r="M95" i="4" s="1"/>
  <c r="M96" i="4" s="1"/>
  <c r="L94" i="4"/>
  <c r="L95" i="4" s="1"/>
  <c r="L96" i="4" s="1"/>
  <c r="K94" i="4"/>
  <c r="J94" i="4"/>
  <c r="I94" i="4"/>
  <c r="I95" i="4" s="1"/>
  <c r="I96" i="4" s="1"/>
  <c r="H93" i="4"/>
  <c r="F93" i="4"/>
  <c r="H92" i="4"/>
  <c r="F92" i="4"/>
  <c r="H91" i="4"/>
  <c r="F91" i="4"/>
  <c r="H90" i="4"/>
  <c r="F90" i="4"/>
  <c r="H89" i="4"/>
  <c r="F89" i="4"/>
  <c r="H88" i="4"/>
  <c r="F88" i="4"/>
  <c r="H87" i="4"/>
  <c r="F87" i="4"/>
  <c r="U84" i="4"/>
  <c r="U85" i="4" s="1"/>
  <c r="T84" i="4"/>
  <c r="T85" i="4" s="1"/>
  <c r="S84" i="4"/>
  <c r="R84" i="4"/>
  <c r="R85" i="4" s="1"/>
  <c r="Q84" i="4"/>
  <c r="P84" i="4"/>
  <c r="P85" i="4" s="1"/>
  <c r="O84" i="4"/>
  <c r="N84" i="4"/>
  <c r="N85" i="4" s="1"/>
  <c r="M84" i="4"/>
  <c r="L84" i="4"/>
  <c r="L85" i="4" s="1"/>
  <c r="L86" i="4" s="1"/>
  <c r="K84" i="4"/>
  <c r="J84" i="4"/>
  <c r="I84" i="4"/>
  <c r="I85" i="4" s="1"/>
  <c r="H83" i="4"/>
  <c r="F83" i="4"/>
  <c r="F84" i="4" s="1"/>
  <c r="F85" i="4" s="1"/>
  <c r="F86" i="4" s="1"/>
  <c r="H82" i="4"/>
  <c r="G82" i="4" s="1"/>
  <c r="H81" i="4"/>
  <c r="G81" i="4" s="1"/>
  <c r="U80" i="4"/>
  <c r="T80" i="4"/>
  <c r="S80" i="4"/>
  <c r="R80" i="4"/>
  <c r="Q80" i="4"/>
  <c r="P80" i="4"/>
  <c r="I80" i="4"/>
  <c r="O78" i="4"/>
  <c r="O79" i="4" s="1"/>
  <c r="N78" i="4"/>
  <c r="N79" i="4" s="1"/>
  <c r="M78" i="4"/>
  <c r="L78" i="4"/>
  <c r="L79" i="4" s="1"/>
  <c r="L80" i="4" s="1"/>
  <c r="K78" i="4"/>
  <c r="J78" i="4"/>
  <c r="J79" i="4" s="1"/>
  <c r="H77" i="4"/>
  <c r="U76" i="4"/>
  <c r="T76" i="4"/>
  <c r="S76" i="4"/>
  <c r="R76" i="4"/>
  <c r="Q76" i="4"/>
  <c r="P76" i="4"/>
  <c r="I76" i="4"/>
  <c r="O74" i="4"/>
  <c r="O75" i="4" s="1"/>
  <c r="O76" i="4" s="1"/>
  <c r="N74" i="4"/>
  <c r="N75" i="4" s="1"/>
  <c r="N76" i="4" s="1"/>
  <c r="M74" i="4"/>
  <c r="M75" i="4" s="1"/>
  <c r="M76" i="4" s="1"/>
  <c r="L74" i="4"/>
  <c r="L75" i="4" s="1"/>
  <c r="K74" i="4"/>
  <c r="K75" i="4" s="1"/>
  <c r="J74" i="4"/>
  <c r="J75" i="4" s="1"/>
  <c r="H73" i="4"/>
  <c r="U72" i="4"/>
  <c r="T72" i="4"/>
  <c r="S72" i="4"/>
  <c r="R72" i="4"/>
  <c r="Q72" i="4"/>
  <c r="P72" i="4"/>
  <c r="I72" i="4"/>
  <c r="O70" i="4"/>
  <c r="O71" i="4" s="1"/>
  <c r="N70" i="4"/>
  <c r="N71" i="4" s="1"/>
  <c r="N72" i="4" s="1"/>
  <c r="M70" i="4"/>
  <c r="L70" i="4"/>
  <c r="L71" i="4" s="1"/>
  <c r="L72" i="4" s="1"/>
  <c r="K70" i="4"/>
  <c r="K71" i="4" s="1"/>
  <c r="J70" i="4"/>
  <c r="J71" i="4" s="1"/>
  <c r="H69" i="4"/>
  <c r="U68" i="4"/>
  <c r="T68" i="4"/>
  <c r="S68" i="4"/>
  <c r="R68" i="4"/>
  <c r="Q68" i="4"/>
  <c r="P68" i="4"/>
  <c r="O68" i="4"/>
  <c r="I68" i="4"/>
  <c r="O66" i="4"/>
  <c r="O67" i="4" s="1"/>
  <c r="N66" i="4"/>
  <c r="M66" i="4"/>
  <c r="M67" i="4" s="1"/>
  <c r="L66" i="4"/>
  <c r="L67" i="4" s="1"/>
  <c r="L68" i="4" s="1"/>
  <c r="K66" i="4"/>
  <c r="K67" i="4" s="1"/>
  <c r="K68" i="4" s="1"/>
  <c r="J66" i="4"/>
  <c r="H65" i="4"/>
  <c r="U64" i="4"/>
  <c r="T64" i="4"/>
  <c r="S64" i="4"/>
  <c r="R64" i="4"/>
  <c r="Q64" i="4"/>
  <c r="P64" i="4"/>
  <c r="O64" i="4"/>
  <c r="I64" i="4"/>
  <c r="O62" i="4"/>
  <c r="O63" i="4" s="1"/>
  <c r="N62" i="4"/>
  <c r="N63" i="4" s="1"/>
  <c r="M62" i="4"/>
  <c r="L62" i="4"/>
  <c r="K62" i="4"/>
  <c r="K63" i="4" s="1"/>
  <c r="J62" i="4"/>
  <c r="J63" i="4" s="1"/>
  <c r="J64" i="4" s="1"/>
  <c r="H61" i="4"/>
  <c r="U60" i="4"/>
  <c r="T60" i="4"/>
  <c r="S60" i="4"/>
  <c r="R60" i="4"/>
  <c r="Q60" i="4"/>
  <c r="P60" i="4"/>
  <c r="O60" i="4"/>
  <c r="I60" i="4"/>
  <c r="O58" i="4"/>
  <c r="O59" i="4" s="1"/>
  <c r="N58" i="4"/>
  <c r="N59" i="4" s="1"/>
  <c r="M58" i="4"/>
  <c r="M59" i="4" s="1"/>
  <c r="L58" i="4"/>
  <c r="K58" i="4"/>
  <c r="J58" i="4"/>
  <c r="H57" i="4"/>
  <c r="U54" i="4"/>
  <c r="T54" i="4"/>
  <c r="S54" i="4"/>
  <c r="R54" i="4"/>
  <c r="Q54" i="4"/>
  <c r="P54" i="4"/>
  <c r="O54" i="4"/>
  <c r="N54" i="4"/>
  <c r="M54" i="4"/>
  <c r="M55" i="4" s="1"/>
  <c r="L54" i="4"/>
  <c r="L55" i="4" s="1"/>
  <c r="K54" i="4"/>
  <c r="K55" i="4" s="1"/>
  <c r="K56" i="4" s="1"/>
  <c r="J54" i="4"/>
  <c r="I54" i="4"/>
  <c r="H53" i="4"/>
  <c r="S50" i="4"/>
  <c r="R50" i="4"/>
  <c r="Q50" i="4"/>
  <c r="Q51" i="4" s="1"/>
  <c r="P50" i="4"/>
  <c r="P51" i="4" s="1"/>
  <c r="O50" i="4"/>
  <c r="O51" i="4" s="1"/>
  <c r="O52" i="4" s="1"/>
  <c r="N50" i="4"/>
  <c r="N51" i="4" s="1"/>
  <c r="N52" i="4" s="1"/>
  <c r="M50" i="4"/>
  <c r="L50" i="4"/>
  <c r="L51" i="4" s="1"/>
  <c r="L52" i="4" s="1"/>
  <c r="K50" i="4"/>
  <c r="J50" i="4"/>
  <c r="I50" i="4"/>
  <c r="H49" i="4"/>
  <c r="F49" i="4"/>
  <c r="H48" i="4"/>
  <c r="F48" i="4"/>
  <c r="H47" i="4"/>
  <c r="F47" i="4"/>
  <c r="H46" i="4"/>
  <c r="F46" i="4"/>
  <c r="H45" i="4"/>
  <c r="F45" i="4"/>
  <c r="H44" i="4"/>
  <c r="F44" i="4"/>
  <c r="H43" i="4"/>
  <c r="F43" i="4"/>
  <c r="D39" i="4"/>
  <c r="F39" i="4" s="1"/>
  <c r="D38" i="4"/>
  <c r="H38" i="4" s="1"/>
  <c r="D37" i="4"/>
  <c r="H37" i="4" s="1"/>
  <c r="D36" i="4"/>
  <c r="F36" i="4" s="1"/>
  <c r="D35" i="4"/>
  <c r="H35" i="4" s="1"/>
  <c r="D34" i="4"/>
  <c r="F34" i="4" s="1"/>
  <c r="D33" i="4"/>
  <c r="F33" i="4" s="1"/>
  <c r="D32" i="4"/>
  <c r="U29" i="4"/>
  <c r="U30" i="4" s="1"/>
  <c r="T29" i="4"/>
  <c r="T30" i="4" s="1"/>
  <c r="T31" i="4" s="1"/>
  <c r="S29" i="4"/>
  <c r="S30" i="4" s="1"/>
  <c r="R29" i="4"/>
  <c r="R30" i="4" s="1"/>
  <c r="R31" i="4" s="1"/>
  <c r="Q29" i="4"/>
  <c r="Q30" i="4" s="1"/>
  <c r="P29" i="4"/>
  <c r="O29" i="4"/>
  <c r="O30" i="4" s="1"/>
  <c r="N29" i="4"/>
  <c r="N30" i="4" s="1"/>
  <c r="M29" i="4"/>
  <c r="M30" i="4" s="1"/>
  <c r="L29" i="4"/>
  <c r="L30" i="4" s="1"/>
  <c r="K29" i="4"/>
  <c r="J29" i="4"/>
  <c r="J30" i="4" s="1"/>
  <c r="J31" i="4" s="1"/>
  <c r="I29" i="4"/>
  <c r="I30" i="4" s="1"/>
  <c r="H28" i="4"/>
  <c r="F28" i="4"/>
  <c r="H27" i="4"/>
  <c r="F27" i="4"/>
  <c r="H26" i="4"/>
  <c r="F26" i="4"/>
  <c r="R25" i="4"/>
  <c r="Q25" i="4"/>
  <c r="P25" i="4"/>
  <c r="O25" i="4"/>
  <c r="N25" i="4"/>
  <c r="M25" i="4"/>
  <c r="L25" i="4"/>
  <c r="K25" i="4"/>
  <c r="I25" i="4"/>
  <c r="J24" i="4"/>
  <c r="J25" i="4" s="1"/>
  <c r="F24" i="4"/>
  <c r="F25" i="4" s="1"/>
  <c r="H23" i="4"/>
  <c r="G23" i="4" s="1"/>
  <c r="U22" i="4"/>
  <c r="T22" i="4"/>
  <c r="S22" i="4"/>
  <c r="H22" i="4"/>
  <c r="G22" i="4" s="1"/>
  <c r="D22" i="4"/>
  <c r="F22" i="4" s="1"/>
  <c r="S19" i="4"/>
  <c r="S20" i="4" s="1"/>
  <c r="S21" i="4" s="1"/>
  <c r="R19" i="4"/>
  <c r="R20" i="4" s="1"/>
  <c r="Q19" i="4"/>
  <c r="P19" i="4"/>
  <c r="O19" i="4"/>
  <c r="O20" i="4" s="1"/>
  <c r="N19" i="4"/>
  <c r="M19" i="4"/>
  <c r="M20" i="4" s="1"/>
  <c r="L19" i="4"/>
  <c r="L20" i="4" s="1"/>
  <c r="K19" i="4"/>
  <c r="K20" i="4" s="1"/>
  <c r="K21" i="4" s="1"/>
  <c r="J19" i="4"/>
  <c r="J20" i="4" s="1"/>
  <c r="U18" i="4"/>
  <c r="T18" i="4"/>
  <c r="I18" i="4"/>
  <c r="H18" i="4"/>
  <c r="F18" i="4"/>
  <c r="U17" i="4"/>
  <c r="T17" i="4"/>
  <c r="I17" i="4"/>
  <c r="U16" i="4"/>
  <c r="T16" i="4"/>
  <c r="I16" i="4"/>
  <c r="H16" i="4"/>
  <c r="F16" i="4"/>
  <c r="U13" i="4"/>
  <c r="U14" i="4" s="1"/>
  <c r="U15" i="4" s="1"/>
  <c r="T13" i="4"/>
  <c r="T14" i="4" s="1"/>
  <c r="T15" i="4" s="1"/>
  <c r="S13" i="4"/>
  <c r="S14" i="4" s="1"/>
  <c r="R13" i="4"/>
  <c r="Q13" i="4"/>
  <c r="Q14" i="4" s="1"/>
  <c r="Q15" i="4" s="1"/>
  <c r="P13" i="4"/>
  <c r="P14" i="4" s="1"/>
  <c r="P15" i="4" s="1"/>
  <c r="O13" i="4"/>
  <c r="O14" i="4" s="1"/>
  <c r="O15" i="4" s="1"/>
  <c r="N13" i="4"/>
  <c r="M13" i="4"/>
  <c r="M14" i="4" s="1"/>
  <c r="L13" i="4"/>
  <c r="L14" i="4" s="1"/>
  <c r="K13" i="4"/>
  <c r="K14" i="4" s="1"/>
  <c r="J13" i="4"/>
  <c r="J14" i="4" s="1"/>
  <c r="H12" i="4"/>
  <c r="F12" i="4"/>
  <c r="F13" i="4" s="1"/>
  <c r="F14" i="4" s="1"/>
  <c r="F10" i="4"/>
  <c r="F11" i="4" s="1"/>
  <c r="U9" i="4"/>
  <c r="T9" i="4"/>
  <c r="S9" i="4"/>
  <c r="S10" i="4" s="1"/>
  <c r="R9" i="4"/>
  <c r="R10" i="4" s="1"/>
  <c r="R11" i="4" s="1"/>
  <c r="Q9" i="4"/>
  <c r="P9" i="4"/>
  <c r="P10" i="4" s="1"/>
  <c r="P11" i="4" s="1"/>
  <c r="O9" i="4"/>
  <c r="O10" i="4" s="1"/>
  <c r="O11" i="4" s="1"/>
  <c r="N9" i="4"/>
  <c r="M9" i="4"/>
  <c r="M10" i="4" s="1"/>
  <c r="L9" i="4"/>
  <c r="K9" i="4"/>
  <c r="K10" i="4" s="1"/>
  <c r="J9" i="4"/>
  <c r="J10" i="4" s="1"/>
  <c r="I8" i="4"/>
  <c r="H8" i="4"/>
  <c r="F8" i="4"/>
  <c r="I7" i="4"/>
  <c r="H7" i="4"/>
  <c r="F7" i="4"/>
  <c r="I6" i="4"/>
  <c r="H6" i="4"/>
  <c r="F6" i="4"/>
  <c r="I5" i="4"/>
  <c r="H5" i="4"/>
  <c r="F5" i="4"/>
  <c r="I4" i="4"/>
  <c r="H4" i="4"/>
  <c r="F4" i="4"/>
  <c r="I3" i="4"/>
  <c r="H3" i="4"/>
  <c r="F3" i="4"/>
  <c r="I2" i="4"/>
  <c r="H2" i="4"/>
  <c r="F2" i="4"/>
  <c r="M15" i="4" l="1"/>
  <c r="G6" i="4"/>
  <c r="G139" i="4"/>
  <c r="G91" i="4"/>
  <c r="G99" i="4"/>
  <c r="G162" i="4"/>
  <c r="F129" i="4"/>
  <c r="G129" i="4" s="1"/>
  <c r="G18" i="4"/>
  <c r="G3" i="4"/>
  <c r="G98" i="4"/>
  <c r="G93" i="4"/>
  <c r="G137" i="4"/>
  <c r="G148" i="4"/>
  <c r="G155" i="4"/>
  <c r="F38" i="4"/>
  <c r="G38" i="4" s="1"/>
  <c r="G104" i="4"/>
  <c r="G182" i="4"/>
  <c r="H25" i="4"/>
  <c r="G25" i="4" s="1"/>
  <c r="G8" i="4"/>
  <c r="U31" i="4"/>
  <c r="L76" i="4"/>
  <c r="F221" i="4"/>
  <c r="F222" i="4" s="1"/>
  <c r="F223" i="4" s="1"/>
  <c r="G152" i="4"/>
  <c r="G184" i="4"/>
  <c r="K203" i="4"/>
  <c r="G149" i="4"/>
  <c r="G121" i="4"/>
  <c r="G199" i="4"/>
  <c r="I207" i="4"/>
  <c r="I208" i="4" s="1"/>
  <c r="H58" i="4"/>
  <c r="H59" i="4" s="1"/>
  <c r="M178" i="4"/>
  <c r="G174" i="4"/>
  <c r="H74" i="4"/>
  <c r="H75" i="4" s="1"/>
  <c r="G92" i="4"/>
  <c r="F123" i="4"/>
  <c r="F124" i="4" s="1"/>
  <c r="F125" i="4" s="1"/>
  <c r="F141" i="4"/>
  <c r="G144" i="4"/>
  <c r="G150" i="4"/>
  <c r="G172" i="4"/>
  <c r="G89" i="4"/>
  <c r="G120" i="4"/>
  <c r="G143" i="4"/>
  <c r="F19" i="4"/>
  <c r="F20" i="4" s="1"/>
  <c r="F21" i="4" s="1"/>
  <c r="G48" i="4"/>
  <c r="G4" i="4"/>
  <c r="G49" i="4"/>
  <c r="Q85" i="4"/>
  <c r="Q86" i="4" s="1"/>
  <c r="G90" i="4"/>
  <c r="O208" i="4"/>
  <c r="G87" i="4"/>
  <c r="P208" i="4"/>
  <c r="O40" i="4"/>
  <c r="O41" i="4" s="1"/>
  <c r="N80" i="4"/>
  <c r="G26" i="4"/>
  <c r="G28" i="4"/>
  <c r="S31" i="4"/>
  <c r="S85" i="4"/>
  <c r="S86" i="4" s="1"/>
  <c r="U96" i="4"/>
  <c r="G108" i="4"/>
  <c r="G122" i="4"/>
  <c r="G204" i="4"/>
  <c r="U223" i="4"/>
  <c r="G83" i="4"/>
  <c r="G156" i="4"/>
  <c r="L21" i="4"/>
  <c r="F101" i="4"/>
  <c r="F102" i="4" s="1"/>
  <c r="L118" i="4"/>
  <c r="H123" i="4"/>
  <c r="H124" i="4" s="1"/>
  <c r="H125" i="4" s="1"/>
  <c r="R134" i="4"/>
  <c r="R135" i="4" s="1"/>
  <c r="R136" i="4" s="1"/>
  <c r="O159" i="4"/>
  <c r="H206" i="4"/>
  <c r="H207" i="4" s="1"/>
  <c r="H221" i="4"/>
  <c r="H222" i="4" s="1"/>
  <c r="G45" i="4"/>
  <c r="I86" i="4"/>
  <c r="H101" i="4"/>
  <c r="P103" i="4"/>
  <c r="P125" i="4"/>
  <c r="G138" i="4"/>
  <c r="S159" i="4"/>
  <c r="G191" i="4"/>
  <c r="O111" i="4"/>
  <c r="R117" i="4"/>
  <c r="R118" i="4" s="1"/>
  <c r="G171" i="4"/>
  <c r="G183" i="4"/>
  <c r="P86" i="4"/>
  <c r="J103" i="4"/>
  <c r="N124" i="4"/>
  <c r="N125" i="4" s="1"/>
  <c r="L178" i="4"/>
  <c r="F185" i="4"/>
  <c r="F186" i="4" s="1"/>
  <c r="F206" i="4"/>
  <c r="F207" i="4" s="1"/>
  <c r="F208" i="4" s="1"/>
  <c r="N208" i="4"/>
  <c r="Q10" i="4"/>
  <c r="Q11" i="4" s="1"/>
  <c r="N20" i="4"/>
  <c r="N21" i="4" s="1"/>
  <c r="F32" i="4"/>
  <c r="G46" i="4"/>
  <c r="M60" i="4"/>
  <c r="K103" i="4"/>
  <c r="H141" i="4"/>
  <c r="O145" i="4"/>
  <c r="G220" i="4"/>
  <c r="G88" i="4"/>
  <c r="G105" i="4"/>
  <c r="O196" i="4"/>
  <c r="R203" i="4"/>
  <c r="P218" i="4"/>
  <c r="G2" i="4"/>
  <c r="Q31" i="4"/>
  <c r="H36" i="4"/>
  <c r="G36" i="4" s="1"/>
  <c r="G44" i="4"/>
  <c r="G16" i="4"/>
  <c r="G107" i="4"/>
  <c r="G119" i="4"/>
  <c r="G219" i="4"/>
  <c r="T10" i="4"/>
  <c r="T11" i="4" s="1"/>
  <c r="T86" i="4"/>
  <c r="J159" i="4"/>
  <c r="F194" i="4"/>
  <c r="F195" i="4" s="1"/>
  <c r="H128" i="4"/>
  <c r="G128" i="4" s="1"/>
  <c r="G164" i="4"/>
  <c r="G173" i="4"/>
  <c r="S177" i="4"/>
  <c r="S178" i="4" s="1"/>
  <c r="G181" i="4"/>
  <c r="H24" i="4"/>
  <c r="G24" i="4" s="1"/>
  <c r="F29" i="4"/>
  <c r="F30" i="4" s="1"/>
  <c r="F31" i="4" s="1"/>
  <c r="H33" i="4"/>
  <c r="G33" i="4" s="1"/>
  <c r="H39" i="4"/>
  <c r="G39" i="4" s="1"/>
  <c r="N55" i="4"/>
  <c r="N56" i="4" s="1"/>
  <c r="J59" i="4"/>
  <c r="J60" i="4" s="1"/>
  <c r="G190" i="4"/>
  <c r="T202" i="4"/>
  <c r="T203" i="4" s="1"/>
  <c r="H126" i="4"/>
  <c r="G7" i="4"/>
  <c r="U10" i="4"/>
  <c r="U11" i="4" s="1"/>
  <c r="M21" i="4"/>
  <c r="G100" i="4"/>
  <c r="U103" i="4"/>
  <c r="O21" i="4"/>
  <c r="L56" i="4"/>
  <c r="K85" i="4"/>
  <c r="K86" i="4" s="1"/>
  <c r="T96" i="4"/>
  <c r="I178" i="4"/>
  <c r="T217" i="4"/>
  <c r="T218" i="4" s="1"/>
  <c r="K222" i="4"/>
  <c r="K223" i="4" s="1"/>
  <c r="G106" i="4"/>
  <c r="J111" i="4"/>
  <c r="G170" i="4"/>
  <c r="U178" i="4"/>
  <c r="G192" i="4"/>
  <c r="P196" i="4"/>
  <c r="G5" i="4"/>
  <c r="J11" i="4"/>
  <c r="G12" i="4"/>
  <c r="G27" i="4"/>
  <c r="O31" i="4"/>
  <c r="R196" i="4"/>
  <c r="I223" i="4"/>
  <c r="M56" i="4"/>
  <c r="F35" i="4"/>
  <c r="G35" i="4" s="1"/>
  <c r="H145" i="4"/>
  <c r="H146" i="4" s="1"/>
  <c r="H147" i="4" s="1"/>
  <c r="G151" i="4"/>
  <c r="L10" i="4"/>
  <c r="L11" i="4" s="1"/>
  <c r="F37" i="4"/>
  <c r="G37" i="4" s="1"/>
  <c r="M68" i="4"/>
  <c r="G179" i="4"/>
  <c r="S15" i="4"/>
  <c r="M40" i="4"/>
  <c r="P52" i="4"/>
  <c r="O102" i="4"/>
  <c r="O103" i="4" s="1"/>
  <c r="R14" i="4"/>
  <c r="R15" i="4" s="1"/>
  <c r="N40" i="4"/>
  <c r="F50" i="4"/>
  <c r="Q52" i="4"/>
  <c r="H50" i="4"/>
  <c r="G43" i="4"/>
  <c r="H54" i="4"/>
  <c r="H66" i="4"/>
  <c r="J67" i="4"/>
  <c r="J68" i="4" s="1"/>
  <c r="M71" i="4"/>
  <c r="M72" i="4" s="1"/>
  <c r="H9" i="4"/>
  <c r="G9" i="4" s="1"/>
  <c r="I31" i="4"/>
  <c r="R40" i="4"/>
  <c r="J55" i="4"/>
  <c r="J56" i="4" s="1"/>
  <c r="P159" i="4"/>
  <c r="L7" i="5"/>
  <c r="F15" i="4"/>
  <c r="S40" i="4"/>
  <c r="J85" i="4"/>
  <c r="J86" i="4" s="1"/>
  <c r="H84" i="4"/>
  <c r="M118" i="4"/>
  <c r="L207" i="4"/>
  <c r="L208" i="4" s="1"/>
  <c r="K11" i="4"/>
  <c r="H13" i="4"/>
  <c r="N31" i="4"/>
  <c r="U40" i="4"/>
  <c r="I51" i="4"/>
  <c r="I52" i="4" s="1"/>
  <c r="P96" i="4"/>
  <c r="J15" i="4"/>
  <c r="H19" i="4"/>
  <c r="R21" i="4"/>
  <c r="K30" i="4"/>
  <c r="K31" i="4" s="1"/>
  <c r="H34" i="4"/>
  <c r="G34" i="4" s="1"/>
  <c r="J51" i="4"/>
  <c r="J52" i="4" s="1"/>
  <c r="O55" i="4"/>
  <c r="O56" i="4" s="1"/>
  <c r="N67" i="4"/>
  <c r="N68" i="4" s="1"/>
  <c r="M79" i="4"/>
  <c r="M80" i="4" s="1"/>
  <c r="J202" i="4"/>
  <c r="J203" i="4" s="1"/>
  <c r="J222" i="4"/>
  <c r="J223" i="4" s="1"/>
  <c r="M11" i="4"/>
  <c r="K15" i="4"/>
  <c r="L15" i="4"/>
  <c r="M31" i="4"/>
  <c r="T102" i="4"/>
  <c r="T103" i="4" s="1"/>
  <c r="F176" i="4"/>
  <c r="G168" i="4"/>
  <c r="I195" i="4"/>
  <c r="I196" i="4" s="1"/>
  <c r="U195" i="4"/>
  <c r="U196" i="4" s="1"/>
  <c r="G197" i="4"/>
  <c r="F201" i="4"/>
  <c r="N10" i="4"/>
  <c r="N11" i="4" s="1"/>
  <c r="N86" i="4"/>
  <c r="O85" i="4"/>
  <c r="O86" i="4" s="1"/>
  <c r="H165" i="4"/>
  <c r="G160" i="4"/>
  <c r="Q207" i="4"/>
  <c r="Q208" i="4" s="1"/>
  <c r="I217" i="4"/>
  <c r="I218" i="4" s="1"/>
  <c r="H216" i="4"/>
  <c r="U217" i="4"/>
  <c r="U218" i="4" s="1"/>
  <c r="N14" i="4"/>
  <c r="N15" i="4" s="1"/>
  <c r="P30" i="4"/>
  <c r="P31" i="4" s="1"/>
  <c r="H62" i="4"/>
  <c r="L63" i="4"/>
  <c r="L64" i="4" s="1"/>
  <c r="H70" i="4"/>
  <c r="M146" i="4"/>
  <c r="M147" i="4" s="1"/>
  <c r="F165" i="4"/>
  <c r="S11" i="4"/>
  <c r="L40" i="4"/>
  <c r="Q40" i="4"/>
  <c r="P40" i="4"/>
  <c r="H32" i="4"/>
  <c r="J40" i="4"/>
  <c r="I40" i="4"/>
  <c r="T40" i="4"/>
  <c r="K40" i="4"/>
  <c r="G47" i="4"/>
  <c r="N60" i="4"/>
  <c r="J72" i="4"/>
  <c r="H94" i="4"/>
  <c r="L103" i="4"/>
  <c r="S118" i="4"/>
  <c r="O124" i="4"/>
  <c r="O125" i="4" s="1"/>
  <c r="T124" i="4"/>
  <c r="T125" i="4" s="1"/>
  <c r="G163" i="4"/>
  <c r="H194" i="4"/>
  <c r="G189" i="4"/>
  <c r="P202" i="4"/>
  <c r="P203" i="4" s="1"/>
  <c r="G205" i="4"/>
  <c r="R208" i="4"/>
  <c r="K51" i="4"/>
  <c r="K52" i="4" s="1"/>
  <c r="N64" i="4"/>
  <c r="O72" i="4"/>
  <c r="O80" i="4"/>
  <c r="K96" i="4"/>
  <c r="J95" i="4"/>
  <c r="J96" i="4" s="1"/>
  <c r="R103" i="4"/>
  <c r="K125" i="4"/>
  <c r="H127" i="4"/>
  <c r="U134" i="4"/>
  <c r="S134" i="4"/>
  <c r="H131" i="4"/>
  <c r="G131" i="4" s="1"/>
  <c r="F157" i="4"/>
  <c r="U167" i="4"/>
  <c r="H176" i="4"/>
  <c r="O177" i="4"/>
  <c r="O178" i="4" s="1"/>
  <c r="K195" i="4"/>
  <c r="K196" i="4" s="1"/>
  <c r="Q202" i="4"/>
  <c r="Q203" i="4" s="1"/>
  <c r="T207" i="4"/>
  <c r="T208" i="4" s="1"/>
  <c r="F132" i="4"/>
  <c r="H132" i="4"/>
  <c r="K158" i="4"/>
  <c r="K159" i="4" s="1"/>
  <c r="L195" i="4"/>
  <c r="L196" i="4" s="1"/>
  <c r="J21" i="4"/>
  <c r="H29" i="4"/>
  <c r="L31" i="4"/>
  <c r="M51" i="4"/>
  <c r="M52" i="4" s="1"/>
  <c r="K59" i="4"/>
  <c r="K60" i="4" s="1"/>
  <c r="N96" i="4"/>
  <c r="H109" i="4"/>
  <c r="U111" i="4"/>
  <c r="G169" i="4"/>
  <c r="Q177" i="4"/>
  <c r="Q178" i="4" s="1"/>
  <c r="M195" i="4"/>
  <c r="M196" i="4" s="1"/>
  <c r="Q103" i="4"/>
  <c r="N111" i="4"/>
  <c r="J207" i="4"/>
  <c r="J208" i="4" s="1"/>
  <c r="M63" i="4"/>
  <c r="M64" i="4" s="1"/>
  <c r="M85" i="4"/>
  <c r="M86" i="4" s="1"/>
  <c r="O95" i="4"/>
  <c r="O96" i="4" s="1"/>
  <c r="K111" i="4"/>
  <c r="M124" i="4"/>
  <c r="M125" i="4" s="1"/>
  <c r="U203" i="4"/>
  <c r="S217" i="4"/>
  <c r="S218" i="4" s="1"/>
  <c r="J76" i="4"/>
  <c r="H78" i="4"/>
  <c r="J80" i="4"/>
  <c r="F94" i="4"/>
  <c r="R95" i="4"/>
  <c r="R96" i="4" s="1"/>
  <c r="M134" i="4"/>
  <c r="Q159" i="4"/>
  <c r="G161" i="4"/>
  <c r="J178" i="4"/>
  <c r="G180" i="4"/>
  <c r="H185" i="4"/>
  <c r="P20" i="4"/>
  <c r="P21" i="4" s="1"/>
  <c r="L59" i="4"/>
  <c r="L60" i="4" s="1"/>
  <c r="K72" i="4"/>
  <c r="K76" i="4"/>
  <c r="K79" i="4"/>
  <c r="K80" i="4" s="1"/>
  <c r="G97" i="4"/>
  <c r="H116" i="4"/>
  <c r="P134" i="4"/>
  <c r="F147" i="4"/>
  <c r="K178" i="4"/>
  <c r="G193" i="4"/>
  <c r="S196" i="4"/>
  <c r="K217" i="4"/>
  <c r="K218" i="4" s="1"/>
  <c r="Q20" i="4"/>
  <c r="Q21" i="4" s="1"/>
  <c r="K64" i="4"/>
  <c r="R86" i="4"/>
  <c r="U86" i="4"/>
  <c r="I102" i="4"/>
  <c r="I103" i="4" s="1"/>
  <c r="O117" i="4"/>
  <c r="O118" i="4" s="1"/>
  <c r="Q117" i="4"/>
  <c r="Q118" i="4" s="1"/>
  <c r="U124" i="4"/>
  <c r="U125" i="4" s="1"/>
  <c r="N134" i="4"/>
  <c r="F130" i="4"/>
  <c r="G130" i="4" s="1"/>
  <c r="Q134" i="4"/>
  <c r="G140" i="4"/>
  <c r="R167" i="4"/>
  <c r="N222" i="4"/>
  <c r="N223" i="4" s="1"/>
  <c r="M7" i="5"/>
  <c r="M111" i="4"/>
  <c r="L125" i="4"/>
  <c r="T158" i="4"/>
  <c r="T159" i="4" s="1"/>
  <c r="J196" i="4"/>
  <c r="Q110" i="4"/>
  <c r="Q111" i="4" s="1"/>
  <c r="T117" i="4"/>
  <c r="T118" i="4" s="1"/>
  <c r="H157" i="4"/>
  <c r="G153" i="4"/>
  <c r="G175" i="4"/>
  <c r="H201" i="4"/>
  <c r="M207" i="4"/>
  <c r="M208" i="4" s="1"/>
  <c r="M222" i="4"/>
  <c r="M223" i="4" s="1"/>
  <c r="L203" i="4"/>
  <c r="I202" i="4"/>
  <c r="I203" i="4" s="1"/>
  <c r="K207" i="4"/>
  <c r="K208" i="4" s="1"/>
  <c r="J217" i="4"/>
  <c r="J218" i="4" s="1"/>
  <c r="S110" i="4"/>
  <c r="S111" i="4" s="1"/>
  <c r="F117" i="4"/>
  <c r="F118" i="4" s="1"/>
  <c r="T134" i="4"/>
  <c r="O134" i="4"/>
  <c r="L134" i="4"/>
  <c r="F133" i="4"/>
  <c r="G133" i="4" s="1"/>
  <c r="G142" i="4"/>
  <c r="G154" i="4"/>
  <c r="M158" i="4"/>
  <c r="M159" i="4" s="1"/>
  <c r="G198" i="4"/>
  <c r="O222" i="4"/>
  <c r="O223" i="4" s="1"/>
  <c r="T110" i="4"/>
  <c r="T111" i="4" s="1"/>
  <c r="J118" i="4"/>
  <c r="F126" i="4"/>
  <c r="T167" i="4"/>
  <c r="N195" i="4"/>
  <c r="N196" i="4" s="1"/>
  <c r="N203" i="4"/>
  <c r="M217" i="4"/>
  <c r="M218" i="4" s="1"/>
  <c r="R223" i="4"/>
  <c r="P222" i="4"/>
  <c r="P223" i="4" s="1"/>
  <c r="Q223" i="4"/>
  <c r="Q166" i="4"/>
  <c r="Q167" i="4" s="1"/>
  <c r="G222" i="4" l="1"/>
  <c r="F196" i="4"/>
  <c r="O42" i="4"/>
  <c r="H76" i="4"/>
  <c r="H223" i="4"/>
  <c r="G223" i="4" s="1"/>
  <c r="G141" i="4"/>
  <c r="H60" i="4"/>
  <c r="G101" i="4"/>
  <c r="G123" i="4"/>
  <c r="H102" i="4"/>
  <c r="H103" i="4" s="1"/>
  <c r="H10" i="4"/>
  <c r="G10" i="4" s="1"/>
  <c r="F103" i="4"/>
  <c r="G221" i="4"/>
  <c r="H11" i="4"/>
  <c r="G11" i="4" s="1"/>
  <c r="G206" i="4"/>
  <c r="F40" i="4"/>
  <c r="F41" i="4" s="1"/>
  <c r="F42" i="4" s="1"/>
  <c r="G145" i="4"/>
  <c r="G146" i="4" s="1"/>
  <c r="G207" i="4"/>
  <c r="M135" i="4"/>
  <c r="M136" i="4" s="1"/>
  <c r="T41" i="4"/>
  <c r="T42" i="4" s="1"/>
  <c r="H217" i="4"/>
  <c r="H218" i="4" s="1"/>
  <c r="H20" i="4"/>
  <c r="G20" i="4" s="1"/>
  <c r="G19" i="4"/>
  <c r="O135" i="4"/>
  <c r="O136" i="4" s="1"/>
  <c r="S135" i="4"/>
  <c r="S136" i="4" s="1"/>
  <c r="I41" i="4"/>
  <c r="I42" i="4" s="1"/>
  <c r="H67" i="4"/>
  <c r="H68" i="4" s="1"/>
  <c r="N41" i="4"/>
  <c r="N42" i="4" s="1"/>
  <c r="T135" i="4"/>
  <c r="T136" i="4" s="1"/>
  <c r="G201" i="4"/>
  <c r="H202" i="4"/>
  <c r="G185" i="4"/>
  <c r="H186" i="4"/>
  <c r="U135" i="4"/>
  <c r="U136" i="4" s="1"/>
  <c r="J41" i="4"/>
  <c r="J42" i="4" s="1"/>
  <c r="N145" i="4"/>
  <c r="U41" i="4"/>
  <c r="U42" i="4"/>
  <c r="L135" i="4"/>
  <c r="L136" i="4" s="1"/>
  <c r="H117" i="4"/>
  <c r="H118" i="4" s="1"/>
  <c r="G116" i="4"/>
  <c r="G127" i="4"/>
  <c r="H134" i="4"/>
  <c r="G32" i="4"/>
  <c r="H40" i="4"/>
  <c r="H55" i="4"/>
  <c r="H56" i="4" s="1"/>
  <c r="F95" i="4"/>
  <c r="F96" i="4" s="1"/>
  <c r="P41" i="4"/>
  <c r="P42" i="4" s="1"/>
  <c r="G132" i="4"/>
  <c r="H95" i="4"/>
  <c r="H96" i="4" s="1"/>
  <c r="G94" i="4"/>
  <c r="Q41" i="4"/>
  <c r="Q42" i="4" s="1"/>
  <c r="H51" i="4"/>
  <c r="H52" i="4" s="1"/>
  <c r="H158" i="4"/>
  <c r="H159" i="4" s="1"/>
  <c r="G157" i="4"/>
  <c r="G158" i="4" s="1"/>
  <c r="G194" i="4"/>
  <c r="H195" i="4"/>
  <c r="G195" i="4" s="1"/>
  <c r="L41" i="4"/>
  <c r="L42" i="4" s="1"/>
  <c r="H71" i="4"/>
  <c r="H72" i="4" s="1"/>
  <c r="H166" i="4"/>
  <c r="H167" i="4" s="1"/>
  <c r="G165" i="4"/>
  <c r="F177" i="4"/>
  <c r="F178" i="4" s="1"/>
  <c r="R41" i="4"/>
  <c r="R42" i="4" s="1"/>
  <c r="M41" i="4"/>
  <c r="M42" i="4" s="1"/>
  <c r="H79" i="4"/>
  <c r="H80" i="4" s="1"/>
  <c r="Q135" i="4"/>
  <c r="Q136" i="4" s="1"/>
  <c r="P135" i="4"/>
  <c r="P136" i="4" s="1"/>
  <c r="G176" i="4"/>
  <c r="H177" i="4"/>
  <c r="G147" i="4"/>
  <c r="H63" i="4"/>
  <c r="H64" i="4" s="1"/>
  <c r="G84" i="4"/>
  <c r="H85" i="4"/>
  <c r="H86" i="4" s="1"/>
  <c r="O146" i="4"/>
  <c r="O147" i="4" s="1"/>
  <c r="F134" i="4"/>
  <c r="G126" i="4"/>
  <c r="N135" i="4"/>
  <c r="N136" i="4" s="1"/>
  <c r="H30" i="4"/>
  <c r="G30" i="4" s="1"/>
  <c r="G29" i="4"/>
  <c r="G13" i="4"/>
  <c r="H14" i="4"/>
  <c r="G14" i="4" s="1"/>
  <c r="S41" i="4"/>
  <c r="S42" i="4" s="1"/>
  <c r="F158" i="4"/>
  <c r="F159" i="4" s="1"/>
  <c r="F51" i="4"/>
  <c r="F52" i="4" s="1"/>
  <c r="G109" i="4"/>
  <c r="H110" i="4"/>
  <c r="H111" i="4" s="1"/>
  <c r="H208" i="4"/>
  <c r="K41" i="4"/>
  <c r="K42" i="4" s="1"/>
  <c r="F166" i="4"/>
  <c r="F167" i="4" s="1"/>
  <c r="F202" i="4"/>
  <c r="F203" i="4" s="1"/>
  <c r="H31" i="4" l="1"/>
  <c r="G31" i="4" s="1"/>
  <c r="H196" i="4"/>
  <c r="G196" i="4" s="1"/>
  <c r="G177" i="4"/>
  <c r="G50" i="4"/>
  <c r="N146" i="4"/>
  <c r="N147" i="4" s="1"/>
  <c r="H21" i="4"/>
  <c r="H15" i="4"/>
  <c r="H178" i="4"/>
  <c r="H41" i="4"/>
  <c r="G41" i="4" s="1"/>
  <c r="G40" i="4"/>
  <c r="G208" i="4"/>
  <c r="H135" i="4"/>
  <c r="H136" i="4" s="1"/>
  <c r="G134" i="4"/>
  <c r="G159" i="4"/>
  <c r="F135" i="4"/>
  <c r="F136" i="4" s="1"/>
  <c r="G167" i="4"/>
  <c r="G202" i="4"/>
  <c r="G166" i="4"/>
  <c r="H203" i="4"/>
  <c r="G21" i="4" l="1"/>
  <c r="H42" i="4"/>
  <c r="G42" i="4" s="1"/>
  <c r="G135" i="4"/>
  <c r="G15" i="4"/>
  <c r="G136" i="4"/>
  <c r="G178" i="4"/>
  <c r="G51" i="4"/>
  <c r="G52" i="4"/>
  <c r="G203" i="4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B53" authorId="0" shapeId="0" xr:uid="{00000000-0006-0000-0300-000004000000}">
      <text>
        <r>
          <rPr>
            <sz val="10"/>
            <color rgb="FF000000"/>
            <rFont val="Arial"/>
            <family val="2"/>
            <scheme val="minor"/>
          </rPr>
          <t>라인통합계열사</t>
        </r>
      </text>
    </comment>
    <comment ref="B57" authorId="0" shapeId="0" xr:uid="{00000000-0006-0000-0300-000003000000}">
      <text>
        <r>
          <rPr>
            <sz val="10"/>
            <color rgb="FF000000"/>
            <rFont val="Arial"/>
            <family val="2"/>
            <scheme val="minor"/>
          </rPr>
          <t>라인통합계열사</t>
        </r>
      </text>
    </comment>
    <comment ref="B61" authorId="0" shapeId="0" xr:uid="{00000000-0006-0000-0300-000001000000}">
      <text>
        <r>
          <rPr>
            <sz val="10"/>
            <color rgb="FF000000"/>
            <rFont val="Arial"/>
            <family val="2"/>
            <scheme val="minor"/>
          </rPr>
          <t>라인통합계열사</t>
        </r>
      </text>
    </comment>
    <comment ref="B65" authorId="0" shapeId="0" xr:uid="{00000000-0006-0000-0300-00000F000000}">
      <text>
        <r>
          <rPr>
            <sz val="10"/>
            <color rgb="FF000000"/>
            <rFont val="Arial"/>
            <family val="2"/>
            <scheme val="minor"/>
          </rPr>
          <t>라인통합계열사</t>
        </r>
      </text>
    </comment>
    <comment ref="B69" authorId="0" shapeId="0" xr:uid="{00000000-0006-0000-0300-00000E000000}">
      <text>
        <r>
          <rPr>
            <sz val="10"/>
            <color rgb="FF000000"/>
            <rFont val="Arial"/>
            <family val="2"/>
            <scheme val="minor"/>
          </rPr>
          <t>라인</t>
        </r>
      </text>
    </comment>
    <comment ref="B73" authorId="0" shapeId="0" xr:uid="{00000000-0006-0000-0300-00000D000000}">
      <text>
        <r>
          <rPr>
            <sz val="10"/>
            <color rgb="FF000000"/>
            <rFont val="Arial"/>
            <family val="2"/>
            <scheme val="minor"/>
          </rPr>
          <t>라인</t>
        </r>
      </text>
    </comment>
    <comment ref="B77" authorId="0" shapeId="0" xr:uid="{00000000-0006-0000-0300-00000B000000}">
      <text>
        <r>
          <rPr>
            <sz val="10"/>
            <color rgb="FF000000"/>
            <rFont val="Arial"/>
            <family val="2"/>
            <scheme val="minor"/>
          </rPr>
          <t xml:space="preserve">라인
</t>
        </r>
      </text>
    </comment>
    <comment ref="L92" authorId="0" shapeId="0" xr:uid="{00000000-0006-0000-0300-000006000000}">
      <text>
        <r>
          <rPr>
            <sz val="10"/>
            <color rgb="FF000000"/>
            <rFont val="Arial"/>
            <family val="2"/>
            <scheme val="minor"/>
          </rPr>
          <t xml:space="preserve">별도 요청 프로그램 : 수면프로그램
진행비 :  1,485,000원 </t>
        </r>
      </text>
    </comment>
    <comment ref="F111" authorId="0" shapeId="0" xr:uid="{00000000-0006-0000-0300-00000C000000}">
      <text>
        <r>
          <rPr>
            <sz val="10"/>
            <color rgb="FF000000"/>
            <rFont val="Arial"/>
            <family val="2"/>
            <scheme val="minor"/>
          </rPr>
          <t>25년 이월금 1,430,000원 + 
26년 계약금 16,500,000</t>
        </r>
      </text>
    </comment>
    <comment ref="O143" authorId="0" shapeId="0" xr:uid="{00000000-0006-0000-0300-000002000000}">
      <text>
        <r>
          <rPr>
            <sz val="10"/>
            <color rgb="FF000000"/>
            <rFont val="Arial"/>
            <family val="2"/>
            <scheme val="minor"/>
          </rPr>
          <t>신규직원 프로그램 : 4회
미술치유프로그램 : 14명(회) 
차감 하여 정산</t>
        </r>
      </text>
    </comment>
  </commentList>
</comments>
</file>

<file path=xl/sharedStrings.xml><?xml version="1.0" encoding="utf-8"?>
<sst xmlns="http://schemas.openxmlformats.org/spreadsheetml/2006/main" count="558" uniqueCount="196">
  <si>
    <t>계약금액</t>
  </si>
  <si>
    <t>비고</t>
  </si>
  <si>
    <t xml:space="preserve"> </t>
  </si>
  <si>
    <t>박효신</t>
  </si>
  <si>
    <t>강규민</t>
  </si>
  <si>
    <t>이사라</t>
  </si>
  <si>
    <t>류현주</t>
  </si>
  <si>
    <t>류승환</t>
  </si>
  <si>
    <t>이승준</t>
  </si>
  <si>
    <t>연번</t>
  </si>
  <si>
    <t>고객사명</t>
  </si>
  <si>
    <t>사업자구분</t>
  </si>
  <si>
    <t>담당</t>
  </si>
  <si>
    <t>휴노</t>
  </si>
  <si>
    <t>인천국제공항공사</t>
  </si>
  <si>
    <t>라인플러스</t>
  </si>
  <si>
    <t>실적계약</t>
  </si>
  <si>
    <t>라인파이낸셜</t>
  </si>
  <si>
    <t>라인페이플러스</t>
  </si>
  <si>
    <t>라인스튜디오</t>
  </si>
  <si>
    <t>라인넥스트</t>
  </si>
  <si>
    <t>IPX</t>
  </si>
  <si>
    <t>라인프렌즈스퀘어</t>
  </si>
  <si>
    <t>휴노INC</t>
  </si>
  <si>
    <t>한국중부발전</t>
  </si>
  <si>
    <t>중부발전서비스</t>
  </si>
  <si>
    <t>경기도청 북부청사</t>
  </si>
  <si>
    <t>인천항만공사</t>
  </si>
  <si>
    <t>창원소방본부</t>
  </si>
  <si>
    <t>인하대병원</t>
  </si>
  <si>
    <t>국가유산진흥원</t>
  </si>
  <si>
    <t>기상청</t>
  </si>
  <si>
    <t>한국가스기술공사</t>
  </si>
  <si>
    <t>한국수자원공사</t>
  </si>
  <si>
    <t>링키지랩</t>
  </si>
  <si>
    <t>포스코DX</t>
  </si>
  <si>
    <t>가좌근로자복합문화센터</t>
  </si>
  <si>
    <t>국회</t>
  </si>
  <si>
    <t>국민건강보험공단(26)</t>
  </si>
  <si>
    <t>한국과학기술기획평가원</t>
  </si>
  <si>
    <t>국가과학기술연구회</t>
  </si>
  <si>
    <t>현대하이카손해사정</t>
  </si>
  <si>
    <t>세인관세법인</t>
  </si>
  <si>
    <t>한국사회복지협의회(두산소방가족)</t>
  </si>
  <si>
    <t>청구금액(vat포함)</t>
  </si>
  <si>
    <t>계산서 발행일</t>
  </si>
  <si>
    <t>입금일자</t>
  </si>
  <si>
    <t>조건</t>
  </si>
  <si>
    <t>예산항목</t>
  </si>
  <si>
    <t>단가</t>
  </si>
  <si>
    <t>목표실적</t>
  </si>
  <si>
    <t>계약금</t>
  </si>
  <si>
    <t>달성율(%)</t>
  </si>
  <si>
    <t>집행 계</t>
  </si>
  <si>
    <t>25년 집행금액</t>
  </si>
  <si>
    <t>1월 실적</t>
  </si>
  <si>
    <t>2월 실적</t>
  </si>
  <si>
    <t>3월 실적</t>
  </si>
  <si>
    <t>4월 실적</t>
  </si>
  <si>
    <t>5월 실적</t>
  </si>
  <si>
    <t>6월 실적</t>
  </si>
  <si>
    <t>7월 실적</t>
  </si>
  <si>
    <t>8월 실적</t>
  </si>
  <si>
    <t>9월 실적</t>
  </si>
  <si>
    <t>10월 실적</t>
  </si>
  <si>
    <t>11월 실적</t>
  </si>
  <si>
    <t>12월 실적</t>
  </si>
  <si>
    <t>심리진단</t>
  </si>
  <si>
    <t>심리상담</t>
  </si>
  <si>
    <t>힐링 프로그램</t>
  </si>
  <si>
    <t>정신과 전문의 상담</t>
  </si>
  <si>
    <t>의료비 지원</t>
  </si>
  <si>
    <t>홍보비</t>
  </si>
  <si>
    <t>운영비</t>
  </si>
  <si>
    <t>총 계 (부가세 미포함)</t>
  </si>
  <si>
    <t>부가세</t>
  </si>
  <si>
    <t>총 계 (부가세 포함)</t>
  </si>
  <si>
    <t>상주상담</t>
  </si>
  <si>
    <t>쉼프로그램</t>
  </si>
  <si>
    <t>운영 및 관리</t>
  </si>
  <si>
    <t>한국수출입은행</t>
  </si>
  <si>
    <t>사내상담</t>
  </si>
  <si>
    <t>프로그램</t>
  </si>
  <si>
    <t>교대근무자 맞춤형 케어</t>
  </si>
  <si>
    <t>소규모 맞춤 특강</t>
  </si>
  <si>
    <t>심리 및 피지컬 케어</t>
  </si>
  <si>
    <t>기타 체험 클래스</t>
  </si>
  <si>
    <t>온라인 프로그램</t>
  </si>
  <si>
    <t>홍보 및 관리</t>
  </si>
  <si>
    <t>직무스트레스진단</t>
  </si>
  <si>
    <t>개인상담</t>
  </si>
  <si>
    <t>홍보</t>
  </si>
  <si>
    <t>운영관리</t>
  </si>
  <si>
    <t>참여형 프로그램(심리)</t>
  </si>
  <si>
    <t>참여형 프로그램(신체)</t>
  </si>
  <si>
    <t>집단프로그램</t>
  </si>
  <si>
    <t>명사특강</t>
  </si>
  <si>
    <t>총 계(부가세 미포함)</t>
  </si>
  <si>
    <t>폭스바겐파이낸셜서비스코리아</t>
  </si>
  <si>
    <t>찾아가는 상담</t>
  </si>
  <si>
    <t>직무스트레스검사</t>
  </si>
  <si>
    <t>직장인강점검사 및 해석상담</t>
  </si>
  <si>
    <t>템플스테이</t>
  </si>
  <si>
    <t>체험형프로그램</t>
  </si>
  <si>
    <t>서비스 운영및 관리</t>
  </si>
  <si>
    <t>서비스 안내</t>
  </si>
  <si>
    <t>마음건강검진</t>
  </si>
  <si>
    <t>전문가 상담</t>
  </si>
  <si>
    <t>사외상담</t>
  </si>
  <si>
    <t>체험형 프로그램</t>
  </si>
  <si>
    <t>서비스 관리</t>
  </si>
  <si>
    <t>강의형 프로그램</t>
  </si>
  <si>
    <t>EAP 서비스 안내 및 홍보</t>
  </si>
  <si>
    <t>홍보 컨텐츠</t>
  </si>
  <si>
    <t>홍보 물품 제작</t>
  </si>
  <si>
    <t>소계</t>
  </si>
  <si>
    <t>참여프로그램(90분)</t>
  </si>
  <si>
    <t>참여프로그램(60분)</t>
  </si>
  <si>
    <t>총 계(부가세X)</t>
  </si>
  <si>
    <t>홍보 및 운영관리</t>
  </si>
  <si>
    <t>조직진단</t>
  </si>
  <si>
    <t>전문가 심리상담</t>
  </si>
  <si>
    <t>사내상담(책임상담사)</t>
  </si>
  <si>
    <t>사내상담(상담사)</t>
  </si>
  <si>
    <t>사내상담실 운영비용</t>
  </si>
  <si>
    <t>전문가 특강</t>
  </si>
  <si>
    <t>서비스 운영 및 관리</t>
  </si>
  <si>
    <t>힐링 클래스 프로그램</t>
  </si>
  <si>
    <t>가족친화 힐링 프로그램</t>
  </si>
  <si>
    <t>캠페인</t>
  </si>
  <si>
    <t>홍보 및 운영</t>
  </si>
  <si>
    <t>위기관리 긴급 지원</t>
  </si>
  <si>
    <t>정신과 초진비 지원</t>
  </si>
  <si>
    <t>집단상담 프로그램</t>
  </si>
  <si>
    <t>스트레스 관리 특강</t>
  </si>
  <si>
    <t>서비스 홍보</t>
  </si>
  <si>
    <t>개인 심리상담</t>
  </si>
  <si>
    <t>절삭</t>
  </si>
  <si>
    <t>서비스 안내, 운영 및 관리</t>
  </si>
  <si>
    <t>개인 심리상담(외부상담센터)</t>
  </si>
  <si>
    <t>개인 심리상담(사내상담 형태)</t>
  </si>
  <si>
    <t>한국사회복지협의회
(두산소방가족)</t>
  </si>
  <si>
    <t>담당PM</t>
  </si>
  <si>
    <t>PM</t>
  </si>
  <si>
    <t>PM별 총금액</t>
  </si>
  <si>
    <t>고객사 수</t>
  </si>
  <si>
    <t>예상 고객사</t>
  </si>
  <si>
    <t>계</t>
  </si>
  <si>
    <t>라인 계열(7개)</t>
  </si>
  <si>
    <t>국민건강보험공단</t>
  </si>
  <si>
    <t>국토교통과학기술진흥원(KAIA)</t>
  </si>
  <si>
    <t>5-6월분(EAP심리상담)</t>
  </si>
  <si>
    <t>5-12월분(홍보 및 운영관리)</t>
  </si>
  <si>
    <t>10월 명상프로그램</t>
  </si>
  <si>
    <t>11월 오피스 스트레칭 프로그램</t>
  </si>
  <si>
    <t>11월 찾아가는 상담</t>
  </si>
  <si>
    <t>이사라</t>
    <phoneticPr fontId="15" type="noConversion"/>
  </si>
  <si>
    <t>류현주</t>
    <phoneticPr fontId="15" type="noConversion"/>
  </si>
  <si>
    <t>류승환</t>
    <phoneticPr fontId="15" type="noConversion"/>
  </si>
  <si>
    <t>이승준</t>
    <phoneticPr fontId="15" type="noConversion"/>
  </si>
  <si>
    <t>실적 계약</t>
    <phoneticPr fontId="15" type="noConversion"/>
  </si>
  <si>
    <t>계약시작일</t>
    <phoneticPr fontId="15" type="noConversion"/>
  </si>
  <si>
    <t>계약종료일</t>
    <phoneticPr fontId="15" type="noConversion"/>
  </si>
  <si>
    <t>청구</t>
    <phoneticPr fontId="15" type="noConversion"/>
  </si>
  <si>
    <t>보고</t>
    <phoneticPr fontId="15" type="noConversion"/>
  </si>
  <si>
    <t>월</t>
  </si>
  <si>
    <t>월</t>
    <phoneticPr fontId="15" type="noConversion"/>
  </si>
  <si>
    <t>월, 분기, 최종</t>
  </si>
  <si>
    <t>월, 최종</t>
  </si>
  <si>
    <t>최종</t>
  </si>
  <si>
    <t>분기</t>
  </si>
  <si>
    <t>분기, 최종</t>
  </si>
  <si>
    <t>한국산업기술진흥원</t>
    <phoneticPr fontId="15" type="noConversion"/>
  </si>
  <si>
    <t>분기</t>
    <phoneticPr fontId="15" type="noConversion"/>
  </si>
  <si>
    <t>분기, 최종</t>
    <phoneticPr fontId="15" type="noConversion"/>
  </si>
  <si>
    <t>중간, 최종</t>
    <phoneticPr fontId="15" type="noConversion"/>
  </si>
  <si>
    <t>월,최종</t>
  </si>
  <si>
    <t>분기,최종</t>
  </si>
  <si>
    <t>월, 최종</t>
    <phoneticPr fontId="15" type="noConversion"/>
  </si>
  <si>
    <t>월, 중간, 최종</t>
  </si>
  <si>
    <t>월, 분기</t>
  </si>
  <si>
    <t>최종</t>
    <phoneticPr fontId="15" type="noConversion"/>
  </si>
  <si>
    <t>월, 분기, 최종</t>
    <phoneticPr fontId="15" type="noConversion"/>
  </si>
  <si>
    <r>
      <rPr>
        <b/>
        <sz val="10"/>
        <color theme="1"/>
        <rFont val="돋움"/>
        <family val="3"/>
        <charset val="129"/>
      </rPr>
      <t>인천시</t>
    </r>
    <r>
      <rPr>
        <b/>
        <sz val="10"/>
        <color theme="1"/>
        <rFont val="Arial"/>
        <family val="2"/>
      </rPr>
      <t xml:space="preserve"> </t>
    </r>
    <r>
      <rPr>
        <b/>
        <sz val="10"/>
        <color theme="1"/>
        <rFont val="돋움"/>
        <family val="3"/>
        <charset val="129"/>
      </rPr>
      <t>노사민정</t>
    </r>
    <phoneticPr fontId="15" type="noConversion"/>
  </si>
  <si>
    <t>인천시 노사민정</t>
    <phoneticPr fontId="15" type="noConversion"/>
  </si>
  <si>
    <r>
      <rPr>
        <b/>
        <sz val="10"/>
        <color theme="1"/>
        <rFont val="Arial"/>
        <family val="3"/>
        <charset val="129"/>
        <scheme val="minor"/>
      </rPr>
      <t xml:space="preserve">한국산업기술진흥원
</t>
    </r>
    <r>
      <rPr>
        <b/>
        <sz val="10"/>
        <color theme="1"/>
        <rFont val="Arial"/>
        <family val="2"/>
        <scheme val="minor"/>
      </rPr>
      <t>(KIAT)</t>
    </r>
    <phoneticPr fontId="15" type="noConversion"/>
  </si>
  <si>
    <t>이름</t>
    <phoneticPr fontId="15" type="noConversion"/>
  </si>
  <si>
    <t>이메일 주소</t>
    <phoneticPr fontId="15" type="noConversion"/>
  </si>
  <si>
    <t>역할</t>
    <phoneticPr fontId="15" type="noConversion"/>
  </si>
  <si>
    <t>강규민</t>
    <phoneticPr fontId="15" type="noConversion"/>
  </si>
  <si>
    <r>
      <t>l</t>
    </r>
    <r>
      <rPr>
        <sz val="10"/>
        <color rgb="FF000000"/>
        <rFont val="Arial"/>
        <family val="2"/>
        <scheme val="minor"/>
      </rPr>
      <t>sj@huno.kr</t>
    </r>
    <phoneticPr fontId="15" type="noConversion"/>
  </si>
  <si>
    <t>PM</t>
    <phoneticPr fontId="15" type="noConversion"/>
  </si>
  <si>
    <r>
      <t>c</t>
    </r>
    <r>
      <rPr>
        <sz val="10"/>
        <color rgb="FF000000"/>
        <rFont val="Arial"/>
        <family val="2"/>
        <scheme val="minor"/>
      </rPr>
      <t>ocoball@huno.kr</t>
    </r>
    <phoneticPr fontId="15" type="noConversion"/>
  </si>
  <si>
    <r>
      <t>t</t>
    </r>
    <r>
      <rPr>
        <sz val="10"/>
        <color rgb="FF000000"/>
        <rFont val="Arial"/>
        <family val="2"/>
        <scheme val="minor"/>
      </rPr>
      <t>kfk0804@huno.kr</t>
    </r>
    <phoneticPr fontId="15" type="noConversion"/>
  </si>
  <si>
    <t>hjryu@huno.kr</t>
    <phoneticPr fontId="15" type="noConversion"/>
  </si>
  <si>
    <t>shryu@huno.kr</t>
    <phoneticPr fontId="15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</si>
</sst>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5">
    <numFmt numFmtId="176" formatCode="yyyy\-mm\-dd"/>
    <numFmt numFmtId="177" formatCode="#,##0.0"/>
    <numFmt numFmtId="178" formatCode="#,##0;\(#,##0\)"/>
    <numFmt numFmtId="179" formatCode="0.0"/>
    <numFmt numFmtId="180" formatCode="_([$₩-412]* #,##0_);_([$₩-412]* \(#,##0\);_([$₩-412]* &quot;-&quot;??_);_(@_)"/>
  </numFmts>
  <fonts count="21">
    <font>
      <sz val="10"/>
      <color rgb="FF000000"/>
      <name val="Arial"/>
      <scheme val="minor"/>
    </font>
    <font>
      <sz val="10"/>
      <name val="Arial"/>
      <family val="2"/>
    </font>
    <font>
      <sz val="10"/>
      <color rgb="FF000000"/>
      <name val="&quot;맑은 고딕&quot;"/>
      <family val="3"/>
      <charset val="129"/>
    </font>
    <font>
      <sz val="10"/>
      <color rgb="FF000000"/>
      <name val="Arial"/>
      <family val="2"/>
    </font>
    <font>
      <b/>
      <sz val="10"/>
      <color rgb="FF000000"/>
      <name val="&quot;맑은 고딕&quot;"/>
      <family val="3"/>
      <charset val="129"/>
    </font>
    <font>
      <sz val="10"/>
      <color theme="1"/>
      <name val="Arial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  <font>
      <sz val="10"/>
      <color rgb="FF000000"/>
      <name val="Arial"/>
      <family val="2"/>
      <scheme val="minor"/>
    </font>
    <font>
      <b/>
      <sz val="10"/>
      <color theme="1"/>
      <name val="Arial"/>
      <family val="2"/>
      <scheme val="minor"/>
    </font>
    <font>
      <b/>
      <sz val="10"/>
      <color rgb="FF000000"/>
      <name val="Arial"/>
      <family val="2"/>
    </font>
    <font>
      <sz val="10"/>
      <color theme="1"/>
      <name val="Arial"/>
      <family val="2"/>
      <scheme val="minor"/>
    </font>
    <font>
      <sz val="10"/>
      <color rgb="FFFF0000"/>
      <name val="Arial"/>
      <family val="2"/>
      <scheme val="minor"/>
    </font>
    <font>
      <sz val="10"/>
      <color rgb="FF000000"/>
      <name val="&quot;Malgun Gothic&quot;"/>
    </font>
    <font>
      <b/>
      <sz val="10"/>
      <color rgb="FFFFFFFF"/>
      <name val="Arial"/>
      <family val="2"/>
      <scheme val="minor"/>
    </font>
    <font>
      <sz val="8"/>
      <name val="Arial"/>
      <family val="3"/>
      <charset val="129"/>
      <scheme val="minor"/>
    </font>
    <font>
      <sz val="10"/>
      <color theme="1"/>
      <name val="Arial"/>
      <family val="3"/>
      <charset val="129"/>
      <scheme val="minor"/>
    </font>
    <font>
      <sz val="10"/>
      <color rgb="FF000000"/>
      <name val="Arial"/>
      <family val="3"/>
      <charset val="129"/>
      <scheme val="minor"/>
    </font>
    <font>
      <b/>
      <sz val="10"/>
      <color theme="1"/>
      <name val="돋움"/>
      <family val="3"/>
      <charset val="129"/>
    </font>
    <font>
      <b/>
      <sz val="10"/>
      <color theme="1"/>
      <name val="Arial"/>
      <family val="3"/>
      <charset val="129"/>
    </font>
    <font>
      <b/>
      <sz val="10"/>
      <color theme="1"/>
      <name val="Arial"/>
      <family val="3"/>
      <charset val="129"/>
      <scheme val="minor"/>
    </font>
  </fonts>
  <fills count="14">
    <fill>
      <patternFill patternType="none"/>
    </fill>
    <fill>
      <patternFill patternType="gray125"/>
    </fill>
    <fill>
      <patternFill patternType="solid">
        <fgColor rgb="FFF2F2F2"/>
        <bgColor rgb="FFF2F2F2"/>
      </patternFill>
    </fill>
    <fill>
      <patternFill patternType="solid">
        <fgColor rgb="FFF3F3F3"/>
        <bgColor rgb="FFF3F3F3"/>
      </patternFill>
    </fill>
    <fill>
      <patternFill patternType="solid">
        <fgColor rgb="FFFFFFFF"/>
        <bgColor rgb="FFFFFFFF"/>
      </patternFill>
    </fill>
    <fill>
      <patternFill patternType="solid">
        <fgColor rgb="FFD9D2E9"/>
        <bgColor rgb="FFD9D2E9"/>
      </patternFill>
    </fill>
    <fill>
      <patternFill patternType="solid">
        <fgColor theme="0"/>
        <bgColor theme="0"/>
      </patternFill>
    </fill>
    <fill>
      <patternFill patternType="solid">
        <fgColor rgb="FFEFEFEF"/>
        <bgColor rgb="FFEFEFEF"/>
      </patternFill>
    </fill>
    <fill>
      <patternFill patternType="solid">
        <fgColor rgb="FF434343"/>
        <bgColor rgb="FF434343"/>
      </patternFill>
    </fill>
    <fill>
      <patternFill patternType="solid">
        <fgColor rgb="FFBFBFBF"/>
        <bgColor rgb="FFBFBFBF"/>
      </patternFill>
    </fill>
    <fill>
      <patternFill patternType="solid">
        <fgColor rgb="FFD9EAD3"/>
        <bgColor rgb="FFD9EAD3"/>
      </patternFill>
    </fill>
    <fill>
      <patternFill patternType="solid">
        <fgColor rgb="FFFFF2CC"/>
        <bgColor rgb="FFFFF2CC"/>
      </patternFill>
    </fill>
    <fill>
      <patternFill patternType="solid">
        <fgColor rgb="FFEAD1DC"/>
        <bgColor rgb="FFEAD1DC"/>
      </patternFill>
    </fill>
    <fill>
      <patternFill patternType="solid">
        <fgColor rgb="FFE6B8AF"/>
        <bgColor rgb="FFE6B8AF"/>
      </patternFill>
    </fill>
  </fills>
  <borders count="20">
    <border>
      <left/>
      <right/>
      <top/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434343"/>
      </left>
      <right style="thin">
        <color rgb="FF434343"/>
      </right>
      <top style="thin">
        <color rgb="FF434343"/>
      </top>
      <bottom style="thin">
        <color rgb="FF434343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hair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 style="thin">
        <color rgb="FFFFFFFF"/>
      </right>
      <top/>
      <bottom style="thin">
        <color rgb="FFA3B2CC"/>
      </bottom>
      <diagonal/>
    </border>
    <border>
      <left style="thin">
        <color rgb="FFFFFFFF"/>
      </left>
      <right style="thin">
        <color rgb="FFFFFFFF"/>
      </right>
      <top/>
      <bottom style="thin">
        <color rgb="FFA3B2CC"/>
      </bottom>
      <diagonal/>
    </border>
    <border>
      <left style="thin">
        <color rgb="FFFFFFFF"/>
      </left>
      <right/>
      <top/>
      <bottom style="thin">
        <color rgb="FFA3B2CC"/>
      </bottom>
      <diagonal/>
    </border>
    <border>
      <left/>
      <right style="thin">
        <color rgb="FFFFFFFF"/>
      </right>
      <top style="thin">
        <color rgb="FFA3B2CC"/>
      </top>
      <bottom style="thin">
        <color rgb="FFA3B2CC"/>
      </bottom>
      <diagonal/>
    </border>
    <border>
      <left style="thin">
        <color rgb="FFFFFFFF"/>
      </left>
      <right style="thin">
        <color rgb="FFFFFFFF"/>
      </right>
      <top style="thin">
        <color rgb="FFA3B2CC"/>
      </top>
      <bottom style="thin">
        <color rgb="FFA3B2CC"/>
      </bottom>
      <diagonal/>
    </border>
    <border>
      <left style="thin">
        <color rgb="FFFFFFFF"/>
      </left>
      <right/>
      <top style="thin">
        <color rgb="FFA3B2CC"/>
      </top>
      <bottom style="thin">
        <color rgb="FFA3B2CC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434343"/>
      </left>
      <right/>
      <top style="thin">
        <color rgb="FF434343"/>
      </top>
      <bottom style="thin">
        <color rgb="FF434343"/>
      </bottom>
      <diagonal/>
    </border>
    <border>
      <left style="thin">
        <color rgb="FF434343"/>
      </left>
      <right/>
      <top/>
      <bottom style="thin">
        <color rgb="FF434343"/>
      </bottom>
      <diagonal/>
    </border>
  </borders>
  <cellStyleXfs count="1">
    <xf numFmtId="0" fontId="0" fillId="0" borderId="0"/>
  </cellStyleXfs>
  <cellXfs count="160">
    <xf numFmtId="0" fontId="0" fillId="0" borderId="0" xfId="0"/>
    <xf numFmtId="0" fontId="5" fillId="0" borderId="0" xfId="0" applyFont="1"/>
    <xf numFmtId="0" fontId="5" fillId="0" borderId="3" xfId="0" applyFont="1" applyBorder="1" applyAlignment="1">
      <alignment horizontal="center"/>
    </xf>
    <xf numFmtId="0" fontId="5" fillId="0" borderId="3" xfId="0" applyFont="1" applyBorder="1"/>
    <xf numFmtId="0" fontId="2" fillId="4" borderId="3" xfId="0" applyFont="1" applyFill="1" applyBorder="1" applyAlignment="1">
      <alignment horizontal="center" vertical="center"/>
    </xf>
    <xf numFmtId="3" fontId="5" fillId="0" borderId="3" xfId="0" applyNumberFormat="1" applyFont="1" applyBorder="1"/>
    <xf numFmtId="3" fontId="3" fillId="4" borderId="3" xfId="0" applyNumberFormat="1" applyFont="1" applyFill="1" applyBorder="1" applyAlignment="1">
      <alignment horizontal="right" vertical="center"/>
    </xf>
    <xf numFmtId="0" fontId="5" fillId="4" borderId="3" xfId="0" applyFont="1" applyFill="1" applyBorder="1"/>
    <xf numFmtId="179" fontId="5" fillId="0" borderId="3" xfId="0" applyNumberFormat="1" applyFont="1" applyBorder="1"/>
    <xf numFmtId="0" fontId="5" fillId="0" borderId="4" xfId="0" applyFont="1" applyBorder="1" applyAlignment="1">
      <alignment horizontal="center"/>
    </xf>
    <xf numFmtId="0" fontId="5" fillId="4" borderId="3" xfId="0" applyFont="1" applyFill="1" applyBorder="1" applyAlignment="1">
      <alignment horizontal="center"/>
    </xf>
    <xf numFmtId="0" fontId="5" fillId="6" borderId="3" xfId="0" applyFont="1" applyFill="1" applyBorder="1" applyAlignment="1">
      <alignment horizontal="right"/>
    </xf>
    <xf numFmtId="0" fontId="5" fillId="0" borderId="3" xfId="0" applyFont="1" applyBorder="1" applyAlignment="1">
      <alignment horizontal="right"/>
    </xf>
    <xf numFmtId="3" fontId="5" fillId="0" borderId="3" xfId="0" applyNumberFormat="1" applyFont="1" applyBorder="1" applyAlignment="1">
      <alignment horizontal="right"/>
    </xf>
    <xf numFmtId="0" fontId="5" fillId="0" borderId="4" xfId="0" applyFont="1" applyBorder="1"/>
    <xf numFmtId="0" fontId="8" fillId="0" borderId="3" xfId="0" applyFont="1" applyBorder="1"/>
    <xf numFmtId="0" fontId="5" fillId="8" borderId="3" xfId="0" applyFont="1" applyFill="1" applyBorder="1"/>
    <xf numFmtId="0" fontId="6" fillId="0" borderId="3" xfId="0" applyFont="1" applyBorder="1"/>
    <xf numFmtId="3" fontId="6" fillId="0" borderId="3" xfId="0" applyNumberFormat="1" applyFont="1" applyBorder="1" applyAlignment="1">
      <alignment horizontal="right"/>
    </xf>
    <xf numFmtId="0" fontId="6" fillId="0" borderId="3" xfId="0" applyFont="1" applyBorder="1" applyAlignment="1">
      <alignment horizontal="right"/>
    </xf>
    <xf numFmtId="0" fontId="7" fillId="9" borderId="3" xfId="0" applyFont="1" applyFill="1" applyBorder="1" applyAlignment="1">
      <alignment horizontal="center" vertical="center"/>
    </xf>
    <xf numFmtId="0" fontId="10" fillId="9" borderId="5" xfId="0" applyFont="1" applyFill="1" applyBorder="1" applyAlignment="1">
      <alignment horizontal="center" vertical="center"/>
    </xf>
    <xf numFmtId="0" fontId="10" fillId="9" borderId="3" xfId="0" applyFont="1" applyFill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3" fontId="3" fillId="0" borderId="3" xfId="0" applyNumberFormat="1" applyFont="1" applyBorder="1" applyAlignment="1">
      <alignment horizontal="right" vertical="center"/>
    </xf>
    <xf numFmtId="2" fontId="5" fillId="0" borderId="3" xfId="0" applyNumberFormat="1" applyFont="1" applyBorder="1"/>
    <xf numFmtId="0" fontId="3" fillId="0" borderId="3" xfId="0" applyFont="1" applyBorder="1" applyAlignment="1">
      <alignment horizontal="right" vertical="center"/>
    </xf>
    <xf numFmtId="3" fontId="10" fillId="3" borderId="3" xfId="0" applyNumberFormat="1" applyFont="1" applyFill="1" applyBorder="1" applyAlignment="1">
      <alignment horizontal="right" vertical="center"/>
    </xf>
    <xf numFmtId="4" fontId="10" fillId="3" borderId="3" xfId="0" applyNumberFormat="1" applyFont="1" applyFill="1" applyBorder="1" applyAlignment="1">
      <alignment horizontal="right" vertical="center"/>
    </xf>
    <xf numFmtId="3" fontId="3" fillId="6" borderId="3" xfId="0" applyNumberFormat="1" applyFont="1" applyFill="1" applyBorder="1" applyAlignment="1">
      <alignment horizontal="right" vertical="center"/>
    </xf>
    <xf numFmtId="178" fontId="10" fillId="2" borderId="3" xfId="0" applyNumberFormat="1" applyFont="1" applyFill="1" applyBorder="1" applyAlignment="1">
      <alignment horizontal="right" vertical="center"/>
    </xf>
    <xf numFmtId="3" fontId="9" fillId="3" borderId="3" xfId="0" applyNumberFormat="1" applyFont="1" applyFill="1" applyBorder="1"/>
    <xf numFmtId="4" fontId="9" fillId="3" borderId="3" xfId="0" applyNumberFormat="1" applyFont="1" applyFill="1" applyBorder="1"/>
    <xf numFmtId="3" fontId="10" fillId="2" borderId="8" xfId="0" applyNumberFormat="1" applyFont="1" applyFill="1" applyBorder="1" applyAlignment="1">
      <alignment horizontal="right" vertical="center"/>
    </xf>
    <xf numFmtId="3" fontId="11" fillId="0" borderId="3" xfId="0" applyNumberFormat="1" applyFont="1" applyBorder="1" applyAlignment="1">
      <alignment horizontal="right" vertical="center"/>
    </xf>
    <xf numFmtId="4" fontId="3" fillId="6" borderId="3" xfId="0" applyNumberFormat="1" applyFont="1" applyFill="1" applyBorder="1" applyAlignment="1">
      <alignment horizontal="right" vertical="center"/>
    </xf>
    <xf numFmtId="178" fontId="3" fillId="4" borderId="3" xfId="0" applyNumberFormat="1" applyFont="1" applyFill="1" applyBorder="1" applyAlignment="1">
      <alignment horizontal="right" vertical="center"/>
    </xf>
    <xf numFmtId="3" fontId="10" fillId="2" borderId="9" xfId="0" applyNumberFormat="1" applyFont="1" applyFill="1" applyBorder="1" applyAlignment="1">
      <alignment horizontal="right" vertical="center"/>
    </xf>
    <xf numFmtId="177" fontId="10" fillId="3" borderId="3" xfId="0" applyNumberFormat="1" applyFont="1" applyFill="1" applyBorder="1" applyAlignment="1">
      <alignment horizontal="right" vertical="center"/>
    </xf>
    <xf numFmtId="3" fontId="9" fillId="0" borderId="0" xfId="0" applyNumberFormat="1" applyFont="1"/>
    <xf numFmtId="3" fontId="9" fillId="3" borderId="6" xfId="0" applyNumberFormat="1" applyFont="1" applyFill="1" applyBorder="1"/>
    <xf numFmtId="3" fontId="7" fillId="2" borderId="8" xfId="0" applyNumberFormat="1" applyFont="1" applyFill="1" applyBorder="1" applyAlignment="1">
      <alignment horizontal="right"/>
    </xf>
    <xf numFmtId="0" fontId="6" fillId="0" borderId="3" xfId="0" applyFont="1" applyBorder="1" applyAlignment="1">
      <alignment horizontal="center"/>
    </xf>
    <xf numFmtId="177" fontId="7" fillId="4" borderId="3" xfId="0" applyNumberFormat="1" applyFont="1" applyFill="1" applyBorder="1" applyAlignment="1">
      <alignment horizontal="right"/>
    </xf>
    <xf numFmtId="178" fontId="6" fillId="4" borderId="3" xfId="0" applyNumberFormat="1" applyFont="1" applyFill="1" applyBorder="1" applyAlignment="1">
      <alignment horizontal="right"/>
    </xf>
    <xf numFmtId="0" fontId="6" fillId="0" borderId="0" xfId="0" applyFont="1"/>
    <xf numFmtId="178" fontId="7" fillId="2" borderId="3" xfId="0" applyNumberFormat="1" applyFont="1" applyFill="1" applyBorder="1" applyAlignment="1">
      <alignment horizontal="right"/>
    </xf>
    <xf numFmtId="0" fontId="6" fillId="8" borderId="3" xfId="0" applyFont="1" applyFill="1" applyBorder="1"/>
    <xf numFmtId="0" fontId="6" fillId="8" borderId="3" xfId="0" applyFont="1" applyFill="1" applyBorder="1" applyAlignment="1">
      <alignment horizontal="right"/>
    </xf>
    <xf numFmtId="178" fontId="7" fillId="7" borderId="3" xfId="0" applyNumberFormat="1" applyFont="1" applyFill="1" applyBorder="1" applyAlignment="1">
      <alignment horizontal="right"/>
    </xf>
    <xf numFmtId="177" fontId="6" fillId="4" borderId="3" xfId="0" applyNumberFormat="1" applyFont="1" applyFill="1" applyBorder="1" applyAlignment="1">
      <alignment horizontal="right"/>
    </xf>
    <xf numFmtId="0" fontId="6" fillId="4" borderId="3" xfId="0" applyFont="1" applyFill="1" applyBorder="1"/>
    <xf numFmtId="3" fontId="3" fillId="8" borderId="3" xfId="0" applyNumberFormat="1" applyFont="1" applyFill="1" applyBorder="1" applyAlignment="1">
      <alignment horizontal="right"/>
    </xf>
    <xf numFmtId="0" fontId="5" fillId="6" borderId="3" xfId="0" applyFont="1" applyFill="1" applyBorder="1" applyAlignment="1">
      <alignment horizontal="center"/>
    </xf>
    <xf numFmtId="3" fontId="5" fillId="6" borderId="3" xfId="0" applyNumberFormat="1" applyFont="1" applyFill="1" applyBorder="1" applyAlignment="1">
      <alignment horizontal="right"/>
    </xf>
    <xf numFmtId="0" fontId="9" fillId="2" borderId="3" xfId="0" applyFont="1" applyFill="1" applyBorder="1" applyAlignment="1">
      <alignment horizontal="right"/>
    </xf>
    <xf numFmtId="177" fontId="9" fillId="7" borderId="3" xfId="0" applyNumberFormat="1" applyFont="1" applyFill="1" applyBorder="1"/>
    <xf numFmtId="3" fontId="6" fillId="4" borderId="3" xfId="0" applyNumberFormat="1" applyFont="1" applyFill="1" applyBorder="1" applyAlignment="1">
      <alignment horizontal="right"/>
    </xf>
    <xf numFmtId="0" fontId="6" fillId="6" borderId="3" xfId="0" applyFont="1" applyFill="1" applyBorder="1"/>
    <xf numFmtId="3" fontId="6" fillId="3" borderId="3" xfId="0" applyNumberFormat="1" applyFont="1" applyFill="1" applyBorder="1" applyAlignment="1">
      <alignment horizontal="right"/>
    </xf>
    <xf numFmtId="0" fontId="6" fillId="4" borderId="3" xfId="0" applyFont="1" applyFill="1" applyBorder="1" applyAlignment="1">
      <alignment horizontal="right"/>
    </xf>
    <xf numFmtId="179" fontId="5" fillId="0" borderId="3" xfId="0" applyNumberFormat="1" applyFont="1" applyBorder="1" applyAlignment="1">
      <alignment horizontal="right"/>
    </xf>
    <xf numFmtId="0" fontId="3" fillId="0" borderId="7" xfId="0" applyFont="1" applyBorder="1" applyAlignment="1">
      <alignment horizontal="center"/>
    </xf>
    <xf numFmtId="3" fontId="3" fillId="0" borderId="7" xfId="0" applyNumberFormat="1" applyFont="1" applyBorder="1" applyAlignment="1">
      <alignment horizontal="right"/>
    </xf>
    <xf numFmtId="0" fontId="3" fillId="0" borderId="10" xfId="0" applyFont="1" applyBorder="1" applyAlignment="1">
      <alignment horizontal="center"/>
    </xf>
    <xf numFmtId="3" fontId="3" fillId="0" borderId="10" xfId="0" applyNumberFormat="1" applyFont="1" applyBorder="1" applyAlignment="1">
      <alignment horizontal="right"/>
    </xf>
    <xf numFmtId="0" fontId="3" fillId="0" borderId="10" xfId="0" applyFont="1" applyBorder="1" applyAlignment="1">
      <alignment horizontal="right"/>
    </xf>
    <xf numFmtId="0" fontId="12" fillId="0" borderId="3" xfId="0" applyFont="1" applyBorder="1"/>
    <xf numFmtId="3" fontId="10" fillId="3" borderId="10" xfId="0" applyNumberFormat="1" applyFont="1" applyFill="1" applyBorder="1" applyAlignment="1">
      <alignment horizontal="right"/>
    </xf>
    <xf numFmtId="3" fontId="7" fillId="8" borderId="8" xfId="0" applyNumberFormat="1" applyFont="1" applyFill="1" applyBorder="1" applyAlignment="1">
      <alignment horizontal="right"/>
    </xf>
    <xf numFmtId="3" fontId="9" fillId="8" borderId="3" xfId="0" applyNumberFormat="1" applyFont="1" applyFill="1" applyBorder="1"/>
    <xf numFmtId="3" fontId="3" fillId="4" borderId="7" xfId="0" applyNumberFormat="1" applyFont="1" applyFill="1" applyBorder="1" applyAlignment="1">
      <alignment horizontal="right"/>
    </xf>
    <xf numFmtId="0" fontId="3" fillId="0" borderId="7" xfId="0" applyFont="1" applyBorder="1" applyAlignment="1">
      <alignment horizontal="right"/>
    </xf>
    <xf numFmtId="3" fontId="10" fillId="7" borderId="10" xfId="0" applyNumberFormat="1" applyFont="1" applyFill="1" applyBorder="1" applyAlignment="1">
      <alignment horizontal="right"/>
    </xf>
    <xf numFmtId="0" fontId="13" fillId="0" borderId="10" xfId="0" applyFont="1" applyBorder="1" applyAlignment="1">
      <alignment horizontal="right"/>
    </xf>
    <xf numFmtId="3" fontId="13" fillId="0" borderId="7" xfId="0" applyNumberFormat="1" applyFont="1" applyBorder="1" applyAlignment="1">
      <alignment horizontal="right"/>
    </xf>
    <xf numFmtId="3" fontId="10" fillId="2" borderId="10" xfId="0" applyNumberFormat="1" applyFont="1" applyFill="1" applyBorder="1" applyAlignment="1">
      <alignment horizontal="right"/>
    </xf>
    <xf numFmtId="3" fontId="9" fillId="3" borderId="3" xfId="0" applyNumberFormat="1" applyFont="1" applyFill="1" applyBorder="1" applyAlignment="1">
      <alignment horizontal="right"/>
    </xf>
    <xf numFmtId="3" fontId="9" fillId="7" borderId="3" xfId="0" applyNumberFormat="1" applyFont="1" applyFill="1" applyBorder="1"/>
    <xf numFmtId="178" fontId="9" fillId="7" borderId="3" xfId="0" applyNumberFormat="1" applyFont="1" applyFill="1" applyBorder="1"/>
    <xf numFmtId="179" fontId="9" fillId="0" borderId="3" xfId="0" applyNumberFormat="1" applyFont="1" applyBorder="1"/>
    <xf numFmtId="0" fontId="3" fillId="0" borderId="3" xfId="0" applyFont="1" applyBorder="1"/>
    <xf numFmtId="3" fontId="10" fillId="3" borderId="3" xfId="0" applyNumberFormat="1" applyFont="1" applyFill="1" applyBorder="1" applyAlignment="1">
      <alignment horizontal="right"/>
    </xf>
    <xf numFmtId="178" fontId="10" fillId="3" borderId="3" xfId="0" applyNumberFormat="1" applyFont="1" applyFill="1" applyBorder="1" applyAlignment="1">
      <alignment horizontal="right"/>
    </xf>
    <xf numFmtId="3" fontId="3" fillId="7" borderId="3" xfId="0" applyNumberFormat="1" applyFont="1" applyFill="1" applyBorder="1" applyAlignment="1">
      <alignment horizontal="right"/>
    </xf>
    <xf numFmtId="178" fontId="10" fillId="6" borderId="3" xfId="0" applyNumberFormat="1" applyFont="1" applyFill="1" applyBorder="1" applyAlignment="1">
      <alignment horizontal="right"/>
    </xf>
    <xf numFmtId="178" fontId="3" fillId="3" borderId="3" xfId="0" applyNumberFormat="1" applyFont="1" applyFill="1" applyBorder="1" applyAlignment="1">
      <alignment horizontal="right"/>
    </xf>
    <xf numFmtId="0" fontId="6" fillId="0" borderId="8" xfId="0" applyFont="1" applyBorder="1" applyAlignment="1">
      <alignment horizontal="center"/>
    </xf>
    <xf numFmtId="3" fontId="6" fillId="0" borderId="8" xfId="0" applyNumberFormat="1" applyFont="1" applyBorder="1" applyAlignment="1">
      <alignment horizontal="right"/>
    </xf>
    <xf numFmtId="0" fontId="6" fillId="8" borderId="8" xfId="0" applyFont="1" applyFill="1" applyBorder="1"/>
    <xf numFmtId="0" fontId="6" fillId="0" borderId="8" xfId="0" applyFont="1" applyBorder="1"/>
    <xf numFmtId="3" fontId="9" fillId="8" borderId="6" xfId="0" applyNumberFormat="1" applyFont="1" applyFill="1" applyBorder="1"/>
    <xf numFmtId="0" fontId="5" fillId="3" borderId="3" xfId="0" applyFont="1" applyFill="1" applyBorder="1"/>
    <xf numFmtId="179" fontId="3" fillId="4" borderId="3" xfId="0" applyNumberFormat="1" applyFont="1" applyFill="1" applyBorder="1" applyAlignment="1">
      <alignment horizontal="right"/>
    </xf>
    <xf numFmtId="179" fontId="3" fillId="3" borderId="3" xfId="0" applyNumberFormat="1" applyFont="1" applyFill="1" applyBorder="1" applyAlignment="1">
      <alignment horizontal="right"/>
    </xf>
    <xf numFmtId="0" fontId="3" fillId="8" borderId="3" xfId="0" applyFont="1" applyFill="1" applyBorder="1"/>
    <xf numFmtId="178" fontId="3" fillId="8" borderId="3" xfId="0" applyNumberFormat="1" applyFont="1" applyFill="1" applyBorder="1" applyAlignment="1">
      <alignment horizontal="right"/>
    </xf>
    <xf numFmtId="3" fontId="5" fillId="3" borderId="3" xfId="0" applyNumberFormat="1" applyFont="1" applyFill="1" applyBorder="1"/>
    <xf numFmtId="0" fontId="3" fillId="4" borderId="3" xfId="0" applyFont="1" applyFill="1" applyBorder="1"/>
    <xf numFmtId="177" fontId="10" fillId="7" borderId="3" xfId="0" applyNumberFormat="1" applyFont="1" applyFill="1" applyBorder="1" applyAlignment="1">
      <alignment horizontal="right" vertical="center"/>
    </xf>
    <xf numFmtId="178" fontId="5" fillId="7" borderId="3" xfId="0" applyNumberFormat="1" applyFont="1" applyFill="1" applyBorder="1"/>
    <xf numFmtId="3" fontId="5" fillId="7" borderId="3" xfId="0" applyNumberFormat="1" applyFont="1" applyFill="1" applyBorder="1"/>
    <xf numFmtId="0" fontId="9" fillId="7" borderId="3" xfId="0" applyFont="1" applyFill="1" applyBorder="1"/>
    <xf numFmtId="0" fontId="4" fillId="5" borderId="3" xfId="0" applyFont="1" applyFill="1" applyBorder="1" applyAlignment="1">
      <alignment horizontal="center" vertical="center"/>
    </xf>
    <xf numFmtId="0" fontId="2" fillId="6" borderId="3" xfId="0" applyFont="1" applyFill="1" applyBorder="1" applyAlignment="1">
      <alignment horizontal="left" vertical="center"/>
    </xf>
    <xf numFmtId="180" fontId="5" fillId="6" borderId="3" xfId="0" applyNumberFormat="1" applyFont="1" applyFill="1" applyBorder="1" applyAlignment="1">
      <alignment vertical="center"/>
    </xf>
    <xf numFmtId="180" fontId="5" fillId="13" borderId="3" xfId="0" applyNumberFormat="1" applyFont="1" applyFill="1" applyBorder="1"/>
    <xf numFmtId="0" fontId="5" fillId="13" borderId="3" xfId="0" applyFont="1" applyFill="1" applyBorder="1" applyAlignment="1">
      <alignment horizontal="center"/>
    </xf>
    <xf numFmtId="0" fontId="5" fillId="13" borderId="3" xfId="0" applyFont="1" applyFill="1" applyBorder="1"/>
    <xf numFmtId="0" fontId="14" fillId="0" borderId="11" xfId="0" applyFont="1" applyBorder="1" applyAlignment="1">
      <alignment horizontal="center"/>
    </xf>
    <xf numFmtId="0" fontId="14" fillId="0" borderId="12" xfId="0" applyFont="1" applyBorder="1" applyAlignment="1">
      <alignment horizontal="center"/>
    </xf>
    <xf numFmtId="0" fontId="14" fillId="0" borderId="13" xfId="0" applyFont="1" applyBorder="1" applyAlignment="1">
      <alignment horizontal="center"/>
    </xf>
    <xf numFmtId="0" fontId="5" fillId="0" borderId="14" xfId="0" applyFont="1" applyBorder="1"/>
    <xf numFmtId="0" fontId="5" fillId="0" borderId="15" xfId="0" applyFont="1" applyBorder="1"/>
    <xf numFmtId="3" fontId="5" fillId="0" borderId="15" xfId="0" applyNumberFormat="1" applyFont="1" applyBorder="1"/>
    <xf numFmtId="176" fontId="5" fillId="0" borderId="15" xfId="0" applyNumberFormat="1" applyFont="1" applyBorder="1"/>
    <xf numFmtId="0" fontId="5" fillId="0" borderId="16" xfId="0" applyFont="1" applyBorder="1"/>
    <xf numFmtId="0" fontId="16" fillId="10" borderId="3" xfId="0" applyFont="1" applyFill="1" applyBorder="1" applyAlignment="1">
      <alignment horizontal="center"/>
    </xf>
    <xf numFmtId="0" fontId="16" fillId="0" borderId="3" xfId="0" applyFont="1" applyBorder="1" applyAlignment="1">
      <alignment horizontal="center"/>
    </xf>
    <xf numFmtId="0" fontId="16" fillId="12" borderId="3" xfId="0" applyFont="1" applyFill="1" applyBorder="1" applyAlignment="1">
      <alignment horizontal="center"/>
    </xf>
    <xf numFmtId="0" fontId="4" fillId="5" borderId="5" xfId="0" applyFont="1" applyFill="1" applyBorder="1" applyAlignment="1">
      <alignment horizontal="center" vertical="center"/>
    </xf>
    <xf numFmtId="3" fontId="2" fillId="0" borderId="5" xfId="0" applyNumberFormat="1" applyFont="1" applyBorder="1" applyAlignment="1">
      <alignment vertical="center"/>
    </xf>
    <xf numFmtId="3" fontId="5" fillId="0" borderId="5" xfId="0" applyNumberFormat="1" applyFont="1" applyBorder="1"/>
    <xf numFmtId="3" fontId="5" fillId="0" borderId="18" xfId="0" applyNumberFormat="1" applyFont="1" applyBorder="1"/>
    <xf numFmtId="3" fontId="2" fillId="4" borderId="5" xfId="0" applyNumberFormat="1" applyFont="1" applyFill="1" applyBorder="1" applyAlignment="1">
      <alignment vertical="center"/>
    </xf>
    <xf numFmtId="3" fontId="16" fillId="11" borderId="5" xfId="0" applyNumberFormat="1" applyFont="1" applyFill="1" applyBorder="1"/>
    <xf numFmtId="3" fontId="2" fillId="6" borderId="5" xfId="0" applyNumberFormat="1" applyFont="1" applyFill="1" applyBorder="1" applyAlignment="1">
      <alignment vertical="center"/>
    </xf>
    <xf numFmtId="3" fontId="5" fillId="0" borderId="19" xfId="0" applyNumberFormat="1" applyFont="1" applyBorder="1"/>
    <xf numFmtId="3" fontId="2" fillId="6" borderId="19" xfId="0" applyNumberFormat="1" applyFont="1" applyFill="1" applyBorder="1" applyAlignment="1">
      <alignment vertical="center"/>
    </xf>
    <xf numFmtId="0" fontId="4" fillId="5" borderId="17" xfId="0" applyFont="1" applyFill="1" applyBorder="1" applyAlignment="1">
      <alignment horizontal="center" vertical="center"/>
    </xf>
    <xf numFmtId="0" fontId="0" fillId="0" borderId="17" xfId="0" applyBorder="1"/>
    <xf numFmtId="0" fontId="17" fillId="0" borderId="17" xfId="0" applyFont="1" applyBorder="1"/>
    <xf numFmtId="176" fontId="3" fillId="0" borderId="3" xfId="0" applyNumberFormat="1" applyFont="1" applyBorder="1" applyAlignment="1">
      <alignment horizontal="center"/>
    </xf>
    <xf numFmtId="176" fontId="5" fillId="0" borderId="3" xfId="0" applyNumberFormat="1" applyFont="1" applyBorder="1" applyAlignment="1">
      <alignment horizontal="center"/>
    </xf>
    <xf numFmtId="14" fontId="0" fillId="0" borderId="17" xfId="0" applyNumberFormat="1" applyBorder="1" applyAlignment="1">
      <alignment horizontal="center"/>
    </xf>
    <xf numFmtId="0" fontId="0" fillId="0" borderId="0" xfId="0" applyAlignment="1">
      <alignment horizontal="center"/>
    </xf>
    <xf numFmtId="176" fontId="6" fillId="0" borderId="3" xfId="0" applyNumberFormat="1" applyFont="1" applyBorder="1" applyAlignment="1">
      <alignment horizontal="center"/>
    </xf>
    <xf numFmtId="0" fontId="16" fillId="0" borderId="3" xfId="0" applyFont="1" applyBorder="1"/>
    <xf numFmtId="0" fontId="8" fillId="0" borderId="0" xfId="0" applyFont="1"/>
    <xf numFmtId="0" fontId="17" fillId="0" borderId="0" xfId="0" applyFont="1"/>
    <xf numFmtId="0" fontId="5" fillId="13" borderId="5" xfId="0" applyFont="1" applyFill="1" applyBorder="1" applyAlignment="1">
      <alignment horizontal="center"/>
    </xf>
    <xf numFmtId="0" fontId="1" fillId="0" borderId="7" xfId="0" applyFont="1" applyBorder="1"/>
    <xf numFmtId="0" fontId="9" fillId="0" borderId="6" xfId="0" applyFont="1" applyBorder="1" applyAlignment="1">
      <alignment horizontal="center" vertical="center"/>
    </xf>
    <xf numFmtId="0" fontId="1" fillId="0" borderId="2" xfId="0" applyFont="1" applyBorder="1"/>
    <xf numFmtId="0" fontId="1" fillId="0" borderId="8" xfId="0" applyFont="1" applyBorder="1"/>
    <xf numFmtId="0" fontId="5" fillId="0" borderId="6" xfId="0" applyFont="1" applyBorder="1" applyAlignment="1">
      <alignment horizontal="center" vertical="center"/>
    </xf>
    <xf numFmtId="0" fontId="6" fillId="0" borderId="6" xfId="0" applyFont="1" applyBorder="1" applyAlignment="1">
      <alignment horizontal="center" vertical="center"/>
    </xf>
    <xf numFmtId="0" fontId="7" fillId="0" borderId="6" xfId="0" applyFont="1" applyBorder="1" applyAlignment="1">
      <alignment horizontal="center" vertical="center"/>
    </xf>
    <xf numFmtId="0" fontId="10" fillId="7" borderId="5" xfId="0" applyFont="1" applyFill="1" applyBorder="1" applyAlignment="1">
      <alignment horizontal="center"/>
    </xf>
    <xf numFmtId="0" fontId="1" fillId="0" borderId="1" xfId="0" applyFont="1" applyBorder="1"/>
    <xf numFmtId="0" fontId="10" fillId="7" borderId="1" xfId="0" applyFont="1" applyFill="1" applyBorder="1" applyAlignment="1">
      <alignment horizontal="center"/>
    </xf>
    <xf numFmtId="0" fontId="20" fillId="0" borderId="6" xfId="0" applyFont="1" applyBorder="1" applyAlignment="1">
      <alignment horizontal="center" vertical="center" wrapText="1"/>
    </xf>
    <xf numFmtId="0" fontId="9" fillId="3" borderId="5" xfId="0" applyFont="1" applyFill="1" applyBorder="1" applyAlignment="1">
      <alignment horizontal="center"/>
    </xf>
    <xf numFmtId="0" fontId="19" fillId="0" borderId="6" xfId="0" applyFont="1" applyBorder="1" applyAlignment="1">
      <alignment horizontal="center" vertical="center"/>
    </xf>
    <xf numFmtId="0" fontId="9" fillId="2" borderId="5" xfId="0" applyFont="1" applyFill="1" applyBorder="1" applyAlignment="1">
      <alignment horizontal="center"/>
    </xf>
    <xf numFmtId="0" fontId="3" fillId="6" borderId="6" xfId="0" applyFont="1" applyFill="1" applyBorder="1" applyAlignment="1">
      <alignment horizontal="center" vertical="center"/>
    </xf>
    <xf numFmtId="3" fontId="5" fillId="0" borderId="6" xfId="0" applyNumberFormat="1" applyFont="1" applyBorder="1" applyAlignment="1">
      <alignment vertical="center"/>
    </xf>
    <xf numFmtId="2" fontId="5" fillId="0" borderId="6" xfId="0" applyNumberFormat="1" applyFont="1" applyBorder="1" applyAlignment="1">
      <alignment vertical="center"/>
    </xf>
    <xf numFmtId="3" fontId="3" fillId="0" borderId="6" xfId="0" applyNumberFormat="1" applyFont="1" applyBorder="1" applyAlignment="1">
      <alignment horizontal="right" vertical="center"/>
    </xf>
    <xf numFmtId="0" fontId="10" fillId="6" borderId="6" xfId="0" applyFont="1" applyFill="1" applyBorder="1" applyAlignment="1">
      <alignment horizontal="center" vertical="center"/>
    </xf>
  </cellXfs>
  <cellStyles count="1">
    <cellStyle name="표준" xfId="0" builtinId="0"/>
  </cellStyles>
  <dxfs count="4">
    <dxf>
      <fill>
        <patternFill patternType="solid">
          <fgColor rgb="FFB7E1CD"/>
          <bgColor rgb="FFB7E1CD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EBEFF1"/>
          <bgColor rgb="FFEBEFF1"/>
        </patternFill>
      </fill>
    </dxf>
    <dxf>
      <fill>
        <patternFill patternType="solid">
          <fgColor rgb="FF6C7687"/>
          <bgColor rgb="FF6C7687"/>
        </patternFill>
      </fill>
    </dxf>
  </dxfs>
  <tableStyles count="1">
    <tableStyle name="세부정보2-박효신-국토교통과학기술진흥원(KAIA)-style" pivot="0" count="3" xr9:uid="{00000000-0011-0000-FFFF-FFFF00000000}">
      <tableStyleElement type="headerRow" dxfId="3"/>
      <tableStyleElement type="firstRowStripe" dxfId="2"/>
      <tableStyleElement type="secondRowStripe" dxfId="1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microsoft.com/office/2017/10/relationships/person" Target="persons/person.xml"/></Relationships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_1" displayName="Table_1" ref="A1:I6">
  <tableColumns count="9">
    <tableColumn id="1" xr3:uid="{00000000-0010-0000-0000-000001000000}" name="연번"/>
    <tableColumn id="2" xr3:uid="{00000000-0010-0000-0000-000002000000}" name="고객사명"/>
    <tableColumn id="3" xr3:uid="{00000000-0010-0000-0000-000003000000}" name="사업자구분"/>
    <tableColumn id="4" xr3:uid="{00000000-0010-0000-0000-000004000000}" name="담당"/>
    <tableColumn id="5" xr3:uid="{00000000-0010-0000-0000-000005000000}" name="청구금액(vat포함)"/>
    <tableColumn id="6" xr3:uid="{00000000-0010-0000-0000-000006000000}" name="계산서 발행일"/>
    <tableColumn id="7" xr3:uid="{00000000-0010-0000-0000-000007000000}" name="입금일자"/>
    <tableColumn id="8" xr3:uid="{00000000-0010-0000-0000-000008000000}" name="조건"/>
    <tableColumn id="9" xr3:uid="{00000000-0010-0000-0000-000009000000}" name="비고"/>
  </tableColumns>
  <tableStyleInfo name="세부정보2-박효신-국토교통과학기술진흥원(KAIA)-style" showFirstColumn="1" showLastColumn="1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outlinePr summaryBelow="0" summaryRight="0"/>
  </sheetPr>
  <dimension ref="A1:N27"/>
  <sheetViews>
    <sheetView tabSelected="1" workbookViewId="0">
      <selection activeCell="B16" sqref="B16"/>
    </sheetView>
  </sheetViews>
  <sheetFormatPr defaultColWidth="12.5703125" defaultRowHeight="15.75" customHeight="1"/>
  <cols>
    <col min="2" max="2" width="25" customWidth="1"/>
    <col min="4" max="4" width="14.85546875" bestFit="1" customWidth="1"/>
    <col min="5" max="6" width="14.85546875" style="135" customWidth="1"/>
    <col min="7" max="8" width="14.85546875" customWidth="1"/>
    <col min="10" max="10" width="8.7109375" customWidth="1"/>
    <col min="11" max="11" width="16.5703125" customWidth="1"/>
    <col min="12" max="12" width="15.7109375" customWidth="1"/>
    <col min="13" max="13" width="8.42578125" customWidth="1"/>
    <col min="14" max="14" width="28.7109375" customWidth="1"/>
  </cols>
  <sheetData>
    <row r="1" spans="1:14" ht="12.75">
      <c r="A1" s="103" t="s">
        <v>142</v>
      </c>
      <c r="B1" s="103" t="s">
        <v>10</v>
      </c>
      <c r="C1" s="103" t="s">
        <v>11</v>
      </c>
      <c r="D1" s="120" t="s">
        <v>0</v>
      </c>
      <c r="E1" s="129" t="s">
        <v>161</v>
      </c>
      <c r="F1" s="129" t="s">
        <v>162</v>
      </c>
      <c r="G1" s="129" t="s">
        <v>163</v>
      </c>
      <c r="H1" s="129" t="s">
        <v>164</v>
      </c>
      <c r="J1" s="103" t="s">
        <v>9</v>
      </c>
      <c r="K1" s="103" t="s">
        <v>143</v>
      </c>
      <c r="L1" s="103" t="s">
        <v>144</v>
      </c>
      <c r="M1" s="103" t="s">
        <v>145</v>
      </c>
      <c r="N1" s="103" t="s">
        <v>146</v>
      </c>
    </row>
    <row r="2" spans="1:14" ht="12.75">
      <c r="A2" s="3" t="s">
        <v>4</v>
      </c>
      <c r="B2" s="104" t="s">
        <v>80</v>
      </c>
      <c r="C2" s="4" t="s">
        <v>13</v>
      </c>
      <c r="D2" s="121">
        <v>20000000</v>
      </c>
      <c r="E2" s="134">
        <v>45923</v>
      </c>
      <c r="F2" s="134">
        <v>46287</v>
      </c>
      <c r="G2" s="131" t="s">
        <v>166</v>
      </c>
      <c r="H2" s="131" t="s">
        <v>166</v>
      </c>
      <c r="J2" s="2">
        <v>1</v>
      </c>
      <c r="K2" s="2" t="s">
        <v>4</v>
      </c>
      <c r="L2" s="105">
        <f ca="1">SUMIF(A2:D26,K2,D2:D26)</f>
        <v>421836600</v>
      </c>
      <c r="M2" s="2">
        <f>COUNTIF(A2:A26,K2)</f>
        <v>5</v>
      </c>
      <c r="N2" s="3"/>
    </row>
    <row r="3" spans="1:14" ht="12.75">
      <c r="A3" s="3" t="s">
        <v>4</v>
      </c>
      <c r="B3" s="104" t="s">
        <v>26</v>
      </c>
      <c r="C3" s="2" t="s">
        <v>13</v>
      </c>
      <c r="D3" s="122">
        <v>120890000</v>
      </c>
      <c r="E3" s="134">
        <v>46023</v>
      </c>
      <c r="F3" s="134">
        <v>46387</v>
      </c>
      <c r="G3" s="130" t="s">
        <v>165</v>
      </c>
      <c r="H3" s="130" t="s">
        <v>167</v>
      </c>
      <c r="J3" s="2">
        <v>2</v>
      </c>
      <c r="K3" s="117" t="s">
        <v>156</v>
      </c>
      <c r="L3" s="105">
        <f ca="1">SUMIF(A2:D27,K3,D2:D27)</f>
        <v>280445000</v>
      </c>
      <c r="M3" s="2">
        <f>COUNTIF(A2:A26,K3)</f>
        <v>6</v>
      </c>
      <c r="N3" s="3"/>
    </row>
    <row r="4" spans="1:14" ht="12.75">
      <c r="A4" s="3" t="s">
        <v>4</v>
      </c>
      <c r="B4" s="104" t="s">
        <v>27</v>
      </c>
      <c r="C4" s="2" t="s">
        <v>13</v>
      </c>
      <c r="D4" s="122">
        <v>30729600</v>
      </c>
      <c r="E4" s="134">
        <v>46023</v>
      </c>
      <c r="F4" s="134">
        <v>46387</v>
      </c>
      <c r="G4" s="130" t="s">
        <v>165</v>
      </c>
      <c r="H4" s="130" t="s">
        <v>168</v>
      </c>
      <c r="J4" s="2">
        <v>3</v>
      </c>
      <c r="K4" s="118" t="s">
        <v>157</v>
      </c>
      <c r="L4" s="105">
        <f ca="1">SUMIF(A2:D27,K4,D2:D27)</f>
        <v>298185000</v>
      </c>
      <c r="M4" s="2">
        <f>COUNTIF(A3:A27,K4)</f>
        <v>6</v>
      </c>
      <c r="N4" s="3"/>
    </row>
    <row r="5" spans="1:14" ht="12.75">
      <c r="A5" s="14" t="s">
        <v>4</v>
      </c>
      <c r="B5" s="104" t="s">
        <v>28</v>
      </c>
      <c r="C5" s="9" t="s">
        <v>23</v>
      </c>
      <c r="D5" s="123">
        <v>19987000</v>
      </c>
      <c r="E5" s="134">
        <v>46023</v>
      </c>
      <c r="F5" s="134">
        <v>46387</v>
      </c>
      <c r="G5" s="130" t="s">
        <v>169</v>
      </c>
      <c r="H5" s="130" t="s">
        <v>168</v>
      </c>
      <c r="J5" s="2">
        <v>4</v>
      </c>
      <c r="K5" s="118" t="s">
        <v>158</v>
      </c>
      <c r="L5" s="105">
        <f ca="1">SUMIF(A2:D27,K5,D2:D27)</f>
        <v>320795000</v>
      </c>
      <c r="M5" s="2">
        <f>COUNTIF(A2:A26,K5)</f>
        <v>5</v>
      </c>
      <c r="N5" s="3"/>
    </row>
    <row r="6" spans="1:14" ht="12.75">
      <c r="A6" s="3" t="s">
        <v>7</v>
      </c>
      <c r="B6" s="104" t="s">
        <v>14</v>
      </c>
      <c r="C6" s="4" t="s">
        <v>13</v>
      </c>
      <c r="D6" s="124">
        <v>111540000</v>
      </c>
      <c r="E6" s="134">
        <v>46023</v>
      </c>
      <c r="F6" s="134">
        <v>46387</v>
      </c>
      <c r="G6" s="130" t="s">
        <v>170</v>
      </c>
      <c r="H6" s="130" t="s">
        <v>171</v>
      </c>
      <c r="J6" s="2">
        <v>12</v>
      </c>
      <c r="K6" s="119" t="s">
        <v>159</v>
      </c>
      <c r="L6" s="105">
        <f ca="1">SUMIF(A2:D31,K6,D2:D31)</f>
        <v>248584000</v>
      </c>
      <c r="M6" s="2">
        <f>COUNTIF(A2:A26,K6)</f>
        <v>3</v>
      </c>
      <c r="N6" s="3"/>
    </row>
    <row r="7" spans="1:14" ht="12.75">
      <c r="A7" s="3" t="s">
        <v>7</v>
      </c>
      <c r="B7" s="104" t="s">
        <v>29</v>
      </c>
      <c r="C7" s="2" t="s">
        <v>13</v>
      </c>
      <c r="D7" s="125" t="s">
        <v>160</v>
      </c>
      <c r="E7" s="134">
        <v>46023</v>
      </c>
      <c r="F7" s="134">
        <v>46387</v>
      </c>
      <c r="G7" s="131" t="s">
        <v>173</v>
      </c>
      <c r="H7" s="131" t="s">
        <v>174</v>
      </c>
      <c r="J7" s="140" t="s">
        <v>147</v>
      </c>
      <c r="K7" s="141"/>
      <c r="L7" s="106">
        <f ca="1">SUM(L2:L6)</f>
        <v>1569845600</v>
      </c>
      <c r="M7" s="107">
        <f>SUM(M2:M6)</f>
        <v>25</v>
      </c>
      <c r="N7" s="108"/>
    </row>
    <row r="8" spans="1:14" ht="12.75">
      <c r="A8" s="3" t="s">
        <v>7</v>
      </c>
      <c r="B8" s="104" t="s">
        <v>184</v>
      </c>
      <c r="C8" s="2" t="s">
        <v>13</v>
      </c>
      <c r="D8" s="126">
        <v>119000000</v>
      </c>
      <c r="E8" s="133">
        <v>46097</v>
      </c>
      <c r="F8" s="133">
        <v>46387</v>
      </c>
      <c r="G8" s="131" t="s">
        <v>175</v>
      </c>
      <c r="H8" s="131" t="s">
        <v>166</v>
      </c>
    </row>
    <row r="9" spans="1:14" ht="12.75">
      <c r="A9" s="3" t="s">
        <v>6</v>
      </c>
      <c r="B9" s="104" t="s">
        <v>148</v>
      </c>
      <c r="C9" s="10" t="s">
        <v>13</v>
      </c>
      <c r="D9" s="125" t="s">
        <v>160</v>
      </c>
      <c r="E9" s="133">
        <v>46113</v>
      </c>
      <c r="F9" s="133">
        <v>46387</v>
      </c>
      <c r="G9" s="131" t="s">
        <v>166</v>
      </c>
      <c r="H9" s="131" t="s">
        <v>166</v>
      </c>
    </row>
    <row r="10" spans="1:14" ht="12.75">
      <c r="A10" s="3" t="s">
        <v>6</v>
      </c>
      <c r="B10" s="104" t="s">
        <v>30</v>
      </c>
      <c r="C10" s="2" t="s">
        <v>23</v>
      </c>
      <c r="D10" s="122">
        <v>48235000</v>
      </c>
      <c r="E10" s="136">
        <v>46036</v>
      </c>
      <c r="F10" s="136">
        <v>46370</v>
      </c>
      <c r="G10" s="3" t="s">
        <v>169</v>
      </c>
      <c r="H10" s="3" t="s">
        <v>176</v>
      </c>
    </row>
    <row r="11" spans="1:14" ht="12.75">
      <c r="A11" s="3" t="s">
        <v>6</v>
      </c>
      <c r="B11" s="104" t="s">
        <v>31</v>
      </c>
      <c r="C11" s="2" t="s">
        <v>23</v>
      </c>
      <c r="D11" s="122">
        <v>30000000</v>
      </c>
      <c r="E11" s="133">
        <v>46091</v>
      </c>
      <c r="F11" s="133">
        <v>46366</v>
      </c>
      <c r="G11" s="3" t="s">
        <v>169</v>
      </c>
      <c r="H11" s="3" t="s">
        <v>168</v>
      </c>
    </row>
    <row r="12" spans="1:14" ht="12.75">
      <c r="A12" s="3" t="s">
        <v>6</v>
      </c>
      <c r="B12" s="104" t="s">
        <v>32</v>
      </c>
      <c r="C12" s="2" t="s">
        <v>13</v>
      </c>
      <c r="D12" s="122">
        <v>37950000</v>
      </c>
      <c r="E12" s="133">
        <v>46113</v>
      </c>
      <c r="F12" s="133">
        <v>46387</v>
      </c>
      <c r="G12" s="3" t="s">
        <v>170</v>
      </c>
      <c r="H12" s="3" t="s">
        <v>177</v>
      </c>
    </row>
    <row r="13" spans="1:14" ht="12.75">
      <c r="A13" s="3" t="s">
        <v>5</v>
      </c>
      <c r="B13" s="104" t="s">
        <v>24</v>
      </c>
      <c r="C13" s="10" t="s">
        <v>13</v>
      </c>
      <c r="D13" s="122">
        <v>155320000</v>
      </c>
      <c r="E13" s="134">
        <v>46023</v>
      </c>
      <c r="F13" s="134">
        <v>46265</v>
      </c>
      <c r="G13" s="131" t="s">
        <v>166</v>
      </c>
      <c r="H13" s="131" t="s">
        <v>178</v>
      </c>
    </row>
    <row r="14" spans="1:14" ht="12.75">
      <c r="A14" s="3" t="s">
        <v>5</v>
      </c>
      <c r="B14" s="104" t="s">
        <v>25</v>
      </c>
      <c r="C14" s="4" t="s">
        <v>13</v>
      </c>
      <c r="D14" s="127">
        <v>19800000</v>
      </c>
      <c r="E14" s="134">
        <v>46023</v>
      </c>
      <c r="F14" s="134">
        <v>46346</v>
      </c>
      <c r="G14" s="131" t="s">
        <v>175</v>
      </c>
      <c r="H14" s="131" t="s">
        <v>175</v>
      </c>
    </row>
    <row r="15" spans="1:14" ht="12.75">
      <c r="A15" s="3" t="s">
        <v>5</v>
      </c>
      <c r="B15" s="104" t="s">
        <v>98</v>
      </c>
      <c r="C15" s="4" t="s">
        <v>13</v>
      </c>
      <c r="D15" s="125" t="s">
        <v>160</v>
      </c>
      <c r="E15" s="134">
        <v>46023</v>
      </c>
      <c r="F15" s="134">
        <v>46173</v>
      </c>
      <c r="G15" s="131" t="s">
        <v>166</v>
      </c>
      <c r="H15" s="131" t="s">
        <v>178</v>
      </c>
    </row>
    <row r="16" spans="1:14" ht="12.75">
      <c r="A16" s="3" t="s">
        <v>5</v>
      </c>
      <c r="B16" s="104" t="s">
        <v>33</v>
      </c>
      <c r="C16" s="2" t="s">
        <v>13</v>
      </c>
      <c r="D16" s="125" t="s">
        <v>160</v>
      </c>
      <c r="E16" s="132">
        <v>46023</v>
      </c>
      <c r="F16" s="132">
        <v>46387</v>
      </c>
      <c r="G16" s="3" t="s">
        <v>170</v>
      </c>
      <c r="H16" s="3" t="s">
        <v>171</v>
      </c>
    </row>
    <row r="17" spans="1:8" ht="12.75">
      <c r="A17" s="3" t="s">
        <v>5</v>
      </c>
      <c r="B17" s="104" t="s">
        <v>34</v>
      </c>
      <c r="C17" s="2" t="s">
        <v>13</v>
      </c>
      <c r="D17" s="127">
        <v>16500000</v>
      </c>
      <c r="E17" s="132">
        <v>46023</v>
      </c>
      <c r="F17" s="132">
        <v>46387</v>
      </c>
      <c r="G17" s="137" t="s">
        <v>175</v>
      </c>
      <c r="H17" s="3" t="s">
        <v>168</v>
      </c>
    </row>
    <row r="18" spans="1:8" ht="12.75">
      <c r="A18" s="3" t="s">
        <v>5</v>
      </c>
      <c r="B18" s="104" t="s">
        <v>35</v>
      </c>
      <c r="C18" s="2" t="s">
        <v>13</v>
      </c>
      <c r="D18" s="128">
        <v>88825000</v>
      </c>
      <c r="E18" s="132">
        <v>46052</v>
      </c>
      <c r="F18" s="132">
        <v>46387</v>
      </c>
      <c r="G18" s="3" t="s">
        <v>170</v>
      </c>
      <c r="H18" s="3" t="s">
        <v>167</v>
      </c>
    </row>
    <row r="19" spans="1:8" ht="12.75">
      <c r="A19" s="3" t="s">
        <v>7</v>
      </c>
      <c r="B19" s="104" t="s">
        <v>36</v>
      </c>
      <c r="C19" s="2" t="s">
        <v>13</v>
      </c>
      <c r="D19" s="128">
        <v>41580000</v>
      </c>
      <c r="E19" s="133">
        <v>46115</v>
      </c>
      <c r="F19" s="132">
        <v>46387</v>
      </c>
      <c r="G19" s="3" t="s">
        <v>169</v>
      </c>
      <c r="H19" s="3" t="s">
        <v>168</v>
      </c>
    </row>
    <row r="20" spans="1:8" ht="12.75">
      <c r="A20" s="3" t="s">
        <v>6</v>
      </c>
      <c r="B20" s="104" t="s">
        <v>37</v>
      </c>
      <c r="C20" s="2" t="s">
        <v>13</v>
      </c>
      <c r="D20" s="122">
        <v>160000000</v>
      </c>
      <c r="E20" s="133">
        <v>46023</v>
      </c>
      <c r="F20" s="133">
        <v>46387</v>
      </c>
      <c r="G20" s="131" t="s">
        <v>166</v>
      </c>
      <c r="H20" s="131" t="s">
        <v>178</v>
      </c>
    </row>
    <row r="21" spans="1:8" ht="12.75">
      <c r="A21" s="3" t="s">
        <v>7</v>
      </c>
      <c r="B21" s="104" t="s">
        <v>172</v>
      </c>
      <c r="C21" s="2" t="s">
        <v>23</v>
      </c>
      <c r="D21" s="122">
        <v>48675000</v>
      </c>
      <c r="E21" s="133">
        <v>46128</v>
      </c>
      <c r="F21" s="133">
        <v>46374</v>
      </c>
      <c r="G21" s="3" t="s">
        <v>169</v>
      </c>
      <c r="H21" s="3" t="s">
        <v>179</v>
      </c>
    </row>
    <row r="22" spans="1:8" ht="12.75">
      <c r="A22" s="3" t="s">
        <v>4</v>
      </c>
      <c r="B22" s="104" t="s">
        <v>149</v>
      </c>
      <c r="C22" s="2" t="s">
        <v>13</v>
      </c>
      <c r="D22" s="122">
        <v>230230000</v>
      </c>
      <c r="E22" s="133">
        <v>46160</v>
      </c>
      <c r="F22" s="133">
        <v>46387</v>
      </c>
      <c r="G22" s="131" t="s">
        <v>181</v>
      </c>
      <c r="H22" s="131" t="s">
        <v>182</v>
      </c>
    </row>
    <row r="23" spans="1:8" ht="12.75">
      <c r="A23" s="3" t="s">
        <v>6</v>
      </c>
      <c r="B23" s="104" t="s">
        <v>39</v>
      </c>
      <c r="C23" s="2" t="s">
        <v>13</v>
      </c>
      <c r="D23" s="122">
        <v>22000000</v>
      </c>
      <c r="E23" s="133">
        <v>46177</v>
      </c>
      <c r="F23" s="133">
        <v>46356</v>
      </c>
      <c r="G23" s="131" t="s">
        <v>181</v>
      </c>
      <c r="H23" s="131" t="s">
        <v>178</v>
      </c>
    </row>
    <row r="24" spans="1:8" ht="12.75">
      <c r="A24" s="3" t="s">
        <v>8</v>
      </c>
      <c r="B24" s="104" t="s">
        <v>40</v>
      </c>
      <c r="C24" s="2" t="s">
        <v>13</v>
      </c>
      <c r="D24" s="122">
        <v>103840000</v>
      </c>
      <c r="E24" s="133">
        <v>46204</v>
      </c>
      <c r="F24" s="133">
        <v>46387</v>
      </c>
      <c r="G24" s="137" t="s">
        <v>175</v>
      </c>
      <c r="H24" s="3" t="s">
        <v>168</v>
      </c>
    </row>
    <row r="25" spans="1:8" ht="12.75">
      <c r="A25" s="3" t="s">
        <v>8</v>
      </c>
      <c r="B25" s="104" t="s">
        <v>41</v>
      </c>
      <c r="C25" s="2" t="s">
        <v>13</v>
      </c>
      <c r="D25" s="122">
        <v>40000000</v>
      </c>
      <c r="E25" s="133">
        <v>46204</v>
      </c>
      <c r="F25" s="133">
        <v>46387</v>
      </c>
      <c r="G25" s="3" t="s">
        <v>170</v>
      </c>
      <c r="H25" s="3" t="s">
        <v>180</v>
      </c>
    </row>
    <row r="26" spans="1:8" ht="12.75">
      <c r="A26" s="3" t="s">
        <v>8</v>
      </c>
      <c r="B26" s="104" t="s">
        <v>42</v>
      </c>
      <c r="C26" s="2" t="s">
        <v>13</v>
      </c>
      <c r="D26" s="122">
        <v>20000000</v>
      </c>
      <c r="E26" s="133">
        <v>46204</v>
      </c>
      <c r="F26" s="133">
        <v>46387</v>
      </c>
      <c r="G26" s="3" t="s">
        <v>165</v>
      </c>
      <c r="H26" s="3" t="s">
        <v>168</v>
      </c>
    </row>
    <row r="27" spans="1:8" ht="12.75">
      <c r="A27" s="3" t="s">
        <v>8</v>
      </c>
      <c r="B27" s="104" t="s">
        <v>43</v>
      </c>
      <c r="C27" s="2" t="s">
        <v>13</v>
      </c>
      <c r="D27" s="122">
        <v>84744000</v>
      </c>
      <c r="E27" s="133">
        <v>46204</v>
      </c>
      <c r="F27" s="133">
        <v>46387</v>
      </c>
      <c r="G27" s="137" t="s">
        <v>175</v>
      </c>
      <c r="H27" s="3" t="s">
        <v>168</v>
      </c>
    </row>
  </sheetData>
  <autoFilter ref="A1:D27" xr:uid="{00000000-0009-0000-0000-000004000000}"/>
  <mergeCells count="1">
    <mergeCell ref="J7:K7"/>
  </mergeCells>
  <phoneticPr fontId="15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outlinePr summaryBelow="0" summaryRight="0"/>
  </sheetPr>
  <dimension ref="A1:AB223"/>
  <sheetViews>
    <sheetView workbookViewId="0">
      <pane xSplit="8" ySplit="1" topLeftCell="I2" activePane="bottomRight" state="frozen"/>
      <selection pane="topRight" activeCell="I1" sqref="I1"/>
      <selection pane="bottomLeft" activeCell="A2" sqref="A2"/>
      <selection pane="bottomRight" activeCell="B12" sqref="B12:B15"/>
    </sheetView>
  </sheetViews>
  <sheetFormatPr defaultColWidth="12.5703125" defaultRowHeight="15.75" customHeight="1"/>
  <cols>
    <col min="1" max="1" width="6.42578125" customWidth="1"/>
    <col min="2" max="2" width="23.28515625" customWidth="1"/>
    <col min="3" max="3" width="26.42578125" customWidth="1"/>
    <col min="6" max="6" width="14.5703125" customWidth="1"/>
  </cols>
  <sheetData>
    <row r="1" spans="1:21" ht="12.75">
      <c r="A1" s="20" t="s">
        <v>2</v>
      </c>
      <c r="B1" s="21" t="s">
        <v>10</v>
      </c>
      <c r="C1" s="22" t="s">
        <v>48</v>
      </c>
      <c r="D1" s="22" t="s">
        <v>49</v>
      </c>
      <c r="E1" s="22" t="s">
        <v>50</v>
      </c>
      <c r="F1" s="22" t="s">
        <v>51</v>
      </c>
      <c r="G1" s="22" t="s">
        <v>52</v>
      </c>
      <c r="H1" s="22" t="s">
        <v>53</v>
      </c>
      <c r="I1" s="22" t="s">
        <v>54</v>
      </c>
      <c r="J1" s="22" t="s">
        <v>55</v>
      </c>
      <c r="K1" s="22" t="s">
        <v>56</v>
      </c>
      <c r="L1" s="22" t="s">
        <v>57</v>
      </c>
      <c r="M1" s="22" t="s">
        <v>58</v>
      </c>
      <c r="N1" s="22" t="s">
        <v>59</v>
      </c>
      <c r="O1" s="22" t="s">
        <v>60</v>
      </c>
      <c r="P1" s="22" t="s">
        <v>61</v>
      </c>
      <c r="Q1" s="22" t="s">
        <v>62</v>
      </c>
      <c r="R1" s="22" t="s">
        <v>63</v>
      </c>
      <c r="S1" s="22" t="s">
        <v>64</v>
      </c>
      <c r="T1" s="22" t="s">
        <v>65</v>
      </c>
      <c r="U1" s="22" t="s">
        <v>66</v>
      </c>
    </row>
    <row r="2" spans="1:21" ht="12.75">
      <c r="A2" s="155">
        <v>1</v>
      </c>
      <c r="B2" s="159" t="s">
        <v>26</v>
      </c>
      <c r="C2" s="23" t="s">
        <v>67</v>
      </c>
      <c r="D2" s="24">
        <v>3000000</v>
      </c>
      <c r="E2" s="24">
        <v>1</v>
      </c>
      <c r="F2" s="24">
        <f t="shared" ref="F2:F8" si="0">D2*E2</f>
        <v>3000000</v>
      </c>
      <c r="G2" s="25">
        <f t="shared" ref="G2:G16" si="1">H2/F2*100</f>
        <v>100</v>
      </c>
      <c r="H2" s="24">
        <f t="shared" ref="H2:H8" si="2">SUM(J2:U2)*D2</f>
        <v>3000000</v>
      </c>
      <c r="I2" s="6">
        <f t="shared" ref="I2:I8" si="3">SUM(J2:U2)</f>
        <v>1</v>
      </c>
      <c r="J2" s="6"/>
      <c r="K2" s="26"/>
      <c r="L2" s="26"/>
      <c r="M2" s="26">
        <v>1</v>
      </c>
      <c r="N2" s="26"/>
      <c r="O2" s="26"/>
      <c r="P2" s="26"/>
      <c r="Q2" s="26"/>
      <c r="R2" s="26"/>
      <c r="S2" s="26"/>
      <c r="T2" s="26"/>
      <c r="U2" s="26"/>
    </row>
    <row r="3" spans="1:21" ht="12.75">
      <c r="A3" s="143"/>
      <c r="B3" s="143"/>
      <c r="C3" s="23" t="s">
        <v>68</v>
      </c>
      <c r="D3" s="24">
        <v>5850000</v>
      </c>
      <c r="E3" s="24">
        <v>12</v>
      </c>
      <c r="F3" s="24">
        <f t="shared" si="0"/>
        <v>70200000</v>
      </c>
      <c r="G3" s="25">
        <f t="shared" si="1"/>
        <v>50</v>
      </c>
      <c r="H3" s="24">
        <f t="shared" si="2"/>
        <v>35100000</v>
      </c>
      <c r="I3" s="6">
        <f t="shared" si="3"/>
        <v>6</v>
      </c>
      <c r="J3" s="6">
        <v>1</v>
      </c>
      <c r="K3" s="26">
        <v>1</v>
      </c>
      <c r="L3" s="26">
        <v>1</v>
      </c>
      <c r="M3" s="26">
        <v>1</v>
      </c>
      <c r="N3" s="26">
        <v>1</v>
      </c>
      <c r="O3" s="26">
        <v>1</v>
      </c>
      <c r="P3" s="26"/>
      <c r="Q3" s="26"/>
      <c r="R3" s="26"/>
      <c r="S3" s="26"/>
      <c r="T3" s="26"/>
      <c r="U3" s="26"/>
    </row>
    <row r="4" spans="1:21" ht="12.75">
      <c r="A4" s="143"/>
      <c r="B4" s="143"/>
      <c r="C4" s="23" t="s">
        <v>69</v>
      </c>
      <c r="D4" s="24">
        <v>2900000</v>
      </c>
      <c r="E4" s="24">
        <v>7</v>
      </c>
      <c r="F4" s="24">
        <f t="shared" si="0"/>
        <v>20300000</v>
      </c>
      <c r="G4" s="25">
        <f t="shared" si="1"/>
        <v>42.857142857142854</v>
      </c>
      <c r="H4" s="24">
        <f t="shared" si="2"/>
        <v>8700000</v>
      </c>
      <c r="I4" s="6">
        <f t="shared" si="3"/>
        <v>3</v>
      </c>
      <c r="J4" s="6"/>
      <c r="K4" s="26">
        <v>1</v>
      </c>
      <c r="L4" s="26"/>
      <c r="M4" s="26">
        <v>1</v>
      </c>
      <c r="N4" s="26"/>
      <c r="O4" s="26">
        <v>1</v>
      </c>
      <c r="P4" s="26"/>
      <c r="Q4" s="26"/>
      <c r="R4" s="26"/>
      <c r="S4" s="26"/>
      <c r="T4" s="26"/>
      <c r="U4" s="26"/>
    </row>
    <row r="5" spans="1:21" ht="12.75">
      <c r="A5" s="143"/>
      <c r="B5" s="143"/>
      <c r="C5" s="23" t="s">
        <v>70</v>
      </c>
      <c r="D5" s="24">
        <v>2000000</v>
      </c>
      <c r="E5" s="24">
        <v>4</v>
      </c>
      <c r="F5" s="24">
        <f t="shared" si="0"/>
        <v>8000000</v>
      </c>
      <c r="G5" s="25">
        <f t="shared" si="1"/>
        <v>50</v>
      </c>
      <c r="H5" s="24">
        <f t="shared" si="2"/>
        <v>4000000</v>
      </c>
      <c r="I5" s="6">
        <f t="shared" si="3"/>
        <v>2</v>
      </c>
      <c r="J5" s="6"/>
      <c r="K5" s="26"/>
      <c r="L5" s="26">
        <v>1</v>
      </c>
      <c r="M5" s="26"/>
      <c r="N5" s="26"/>
      <c r="O5" s="26">
        <v>1</v>
      </c>
      <c r="P5" s="26"/>
      <c r="Q5" s="26"/>
      <c r="R5" s="26"/>
      <c r="S5" s="26"/>
      <c r="T5" s="26"/>
      <c r="U5" s="26"/>
    </row>
    <row r="6" spans="1:21" ht="12.75">
      <c r="A6" s="143"/>
      <c r="B6" s="143"/>
      <c r="C6" s="23" t="s">
        <v>71</v>
      </c>
      <c r="D6" s="24">
        <v>500000</v>
      </c>
      <c r="E6" s="24">
        <v>4</v>
      </c>
      <c r="F6" s="24">
        <f t="shared" si="0"/>
        <v>2000000</v>
      </c>
      <c r="G6" s="25">
        <f t="shared" si="1"/>
        <v>0</v>
      </c>
      <c r="H6" s="24">
        <f t="shared" si="2"/>
        <v>0</v>
      </c>
      <c r="I6" s="6">
        <f t="shared" si="3"/>
        <v>0</v>
      </c>
      <c r="J6" s="6"/>
      <c r="K6" s="26"/>
      <c r="L6" s="26"/>
      <c r="M6" s="26"/>
      <c r="N6" s="26"/>
      <c r="O6" s="26"/>
      <c r="P6" s="26"/>
      <c r="Q6" s="26"/>
      <c r="R6" s="26"/>
      <c r="S6" s="26"/>
      <c r="T6" s="26"/>
      <c r="U6" s="26"/>
    </row>
    <row r="7" spans="1:21" ht="12.75">
      <c r="A7" s="143"/>
      <c r="B7" s="143"/>
      <c r="C7" s="23" t="s">
        <v>72</v>
      </c>
      <c r="D7" s="24">
        <v>4000000</v>
      </c>
      <c r="E7" s="24">
        <v>1</v>
      </c>
      <c r="F7" s="24">
        <f t="shared" si="0"/>
        <v>4000000</v>
      </c>
      <c r="G7" s="25">
        <f t="shared" si="1"/>
        <v>100</v>
      </c>
      <c r="H7" s="24">
        <f t="shared" si="2"/>
        <v>4000000</v>
      </c>
      <c r="I7" s="6">
        <f t="shared" si="3"/>
        <v>1</v>
      </c>
      <c r="J7" s="6">
        <v>1</v>
      </c>
      <c r="K7" s="26"/>
      <c r="L7" s="26"/>
      <c r="M7" s="26"/>
      <c r="N7" s="26"/>
      <c r="O7" s="26"/>
      <c r="P7" s="26"/>
      <c r="Q7" s="26"/>
      <c r="R7" s="26"/>
      <c r="S7" s="26"/>
      <c r="T7" s="26"/>
      <c r="U7" s="26"/>
    </row>
    <row r="8" spans="1:21" ht="12.75">
      <c r="A8" s="143"/>
      <c r="B8" s="143"/>
      <c r="C8" s="23" t="s">
        <v>73</v>
      </c>
      <c r="D8" s="24">
        <v>200000</v>
      </c>
      <c r="E8" s="24">
        <v>12</v>
      </c>
      <c r="F8" s="24">
        <f t="shared" si="0"/>
        <v>2400000</v>
      </c>
      <c r="G8" s="25">
        <f t="shared" si="1"/>
        <v>50</v>
      </c>
      <c r="H8" s="24">
        <f t="shared" si="2"/>
        <v>1200000</v>
      </c>
      <c r="I8" s="6">
        <f t="shared" si="3"/>
        <v>6</v>
      </c>
      <c r="J8" s="6">
        <v>1</v>
      </c>
      <c r="K8" s="19">
        <v>1</v>
      </c>
      <c r="L8" s="19">
        <v>1</v>
      </c>
      <c r="M8" s="19">
        <v>1</v>
      </c>
      <c r="N8" s="19">
        <v>1</v>
      </c>
      <c r="O8" s="19">
        <v>1</v>
      </c>
      <c r="P8" s="19"/>
      <c r="Q8" s="19"/>
      <c r="R8" s="19"/>
      <c r="S8" s="19"/>
      <c r="T8" s="19"/>
      <c r="U8" s="19"/>
    </row>
    <row r="9" spans="1:21" ht="12.75">
      <c r="A9" s="143"/>
      <c r="B9" s="143"/>
      <c r="C9" s="150" t="s">
        <v>74</v>
      </c>
      <c r="D9" s="149"/>
      <c r="E9" s="141"/>
      <c r="F9" s="27">
        <v>109900000</v>
      </c>
      <c r="G9" s="28">
        <f t="shared" si="1"/>
        <v>50.955414012738856</v>
      </c>
      <c r="H9" s="27">
        <f t="shared" ref="H9:H11" si="4">SUM(J9:U9)</f>
        <v>56000000</v>
      </c>
      <c r="I9" s="27"/>
      <c r="J9" s="27">
        <f t="shared" ref="J9:U9" si="5">$D$2*J2+$D$3*J3+$D$4*J4+$D$5*J5+$D$6*J6+$D$7*J7+$D$8*J8</f>
        <v>10050000</v>
      </c>
      <c r="K9" s="27">
        <f t="shared" si="5"/>
        <v>8950000</v>
      </c>
      <c r="L9" s="27">
        <f t="shared" si="5"/>
        <v>8050000</v>
      </c>
      <c r="M9" s="27">
        <f t="shared" si="5"/>
        <v>11950000</v>
      </c>
      <c r="N9" s="27">
        <f t="shared" si="5"/>
        <v>6050000</v>
      </c>
      <c r="O9" s="27">
        <f t="shared" si="5"/>
        <v>10950000</v>
      </c>
      <c r="P9" s="27">
        <f t="shared" si="5"/>
        <v>0</v>
      </c>
      <c r="Q9" s="27">
        <f t="shared" si="5"/>
        <v>0</v>
      </c>
      <c r="R9" s="27">
        <f t="shared" si="5"/>
        <v>0</v>
      </c>
      <c r="S9" s="27">
        <f t="shared" si="5"/>
        <v>0</v>
      </c>
      <c r="T9" s="27">
        <f t="shared" si="5"/>
        <v>0</v>
      </c>
      <c r="U9" s="27">
        <f t="shared" si="5"/>
        <v>0</v>
      </c>
    </row>
    <row r="10" spans="1:21" ht="12.75">
      <c r="A10" s="143"/>
      <c r="B10" s="143"/>
      <c r="C10" s="150" t="s">
        <v>75</v>
      </c>
      <c r="D10" s="149"/>
      <c r="E10" s="141"/>
      <c r="F10" s="27">
        <f>F9*0.1</f>
        <v>10990000</v>
      </c>
      <c r="G10" s="28">
        <f t="shared" si="1"/>
        <v>50.955414012738856</v>
      </c>
      <c r="H10" s="27">
        <f t="shared" si="4"/>
        <v>5600000</v>
      </c>
      <c r="I10" s="27"/>
      <c r="J10" s="27">
        <f t="shared" ref="J10:U10" si="6">J9*0.1</f>
        <v>1005000</v>
      </c>
      <c r="K10" s="27">
        <f t="shared" si="6"/>
        <v>895000</v>
      </c>
      <c r="L10" s="27">
        <f t="shared" si="6"/>
        <v>805000</v>
      </c>
      <c r="M10" s="27">
        <f t="shared" si="6"/>
        <v>1195000</v>
      </c>
      <c r="N10" s="27">
        <f t="shared" si="6"/>
        <v>605000</v>
      </c>
      <c r="O10" s="27">
        <f t="shared" si="6"/>
        <v>1095000</v>
      </c>
      <c r="P10" s="27">
        <f t="shared" si="6"/>
        <v>0</v>
      </c>
      <c r="Q10" s="27">
        <f t="shared" si="6"/>
        <v>0</v>
      </c>
      <c r="R10" s="27">
        <f t="shared" si="6"/>
        <v>0</v>
      </c>
      <c r="S10" s="27">
        <f t="shared" si="6"/>
        <v>0</v>
      </c>
      <c r="T10" s="27">
        <f t="shared" si="6"/>
        <v>0</v>
      </c>
      <c r="U10" s="27">
        <f t="shared" si="6"/>
        <v>0</v>
      </c>
    </row>
    <row r="11" spans="1:21" ht="12.75">
      <c r="A11" s="144"/>
      <c r="B11" s="144"/>
      <c r="C11" s="150" t="s">
        <v>76</v>
      </c>
      <c r="D11" s="149"/>
      <c r="E11" s="141"/>
      <c r="F11" s="27">
        <f>F9+F10</f>
        <v>120890000</v>
      </c>
      <c r="G11" s="28">
        <f t="shared" si="1"/>
        <v>50.955414012738856</v>
      </c>
      <c r="H11" s="27">
        <f t="shared" si="4"/>
        <v>61600000</v>
      </c>
      <c r="I11" s="27"/>
      <c r="J11" s="27">
        <f t="shared" ref="J11:U11" si="7">J9+J10</f>
        <v>11055000</v>
      </c>
      <c r="K11" s="27">
        <f t="shared" si="7"/>
        <v>9845000</v>
      </c>
      <c r="L11" s="27">
        <f t="shared" si="7"/>
        <v>8855000</v>
      </c>
      <c r="M11" s="27">
        <f t="shared" si="7"/>
        <v>13145000</v>
      </c>
      <c r="N11" s="27">
        <f t="shared" si="7"/>
        <v>6655000</v>
      </c>
      <c r="O11" s="27">
        <f t="shared" si="7"/>
        <v>12045000</v>
      </c>
      <c r="P11" s="27">
        <f t="shared" si="7"/>
        <v>0</v>
      </c>
      <c r="Q11" s="27">
        <f t="shared" si="7"/>
        <v>0</v>
      </c>
      <c r="R11" s="27">
        <f t="shared" si="7"/>
        <v>0</v>
      </c>
      <c r="S11" s="27">
        <f t="shared" si="7"/>
        <v>0</v>
      </c>
      <c r="T11" s="27">
        <f t="shared" si="7"/>
        <v>0</v>
      </c>
      <c r="U11" s="27">
        <f t="shared" si="7"/>
        <v>0</v>
      </c>
    </row>
    <row r="12" spans="1:21" ht="12.75">
      <c r="A12" s="155">
        <v>2</v>
      </c>
      <c r="B12" s="142" t="s">
        <v>27</v>
      </c>
      <c r="C12" s="23" t="s">
        <v>77</v>
      </c>
      <c r="D12" s="24">
        <v>582000</v>
      </c>
      <c r="E12" s="24">
        <v>48</v>
      </c>
      <c r="F12" s="29">
        <f>D12*E12</f>
        <v>27936000</v>
      </c>
      <c r="G12" s="25">
        <f t="shared" si="1"/>
        <v>50</v>
      </c>
      <c r="H12" s="24">
        <f>SUM(I12:U12)*D12</f>
        <v>13968000</v>
      </c>
      <c r="I12" s="6"/>
      <c r="J12" s="6">
        <v>4</v>
      </c>
      <c r="K12" s="19">
        <v>4</v>
      </c>
      <c r="L12" s="19">
        <v>4</v>
      </c>
      <c r="M12" s="19">
        <v>4</v>
      </c>
      <c r="N12" s="19">
        <v>4</v>
      </c>
      <c r="O12" s="19">
        <v>4</v>
      </c>
      <c r="P12" s="19"/>
      <c r="Q12" s="19"/>
      <c r="R12" s="19"/>
      <c r="S12" s="19"/>
      <c r="T12" s="19"/>
      <c r="U12" s="19"/>
    </row>
    <row r="13" spans="1:21" ht="12.75">
      <c r="A13" s="143"/>
      <c r="B13" s="143"/>
      <c r="C13" s="150" t="s">
        <v>74</v>
      </c>
      <c r="D13" s="149"/>
      <c r="E13" s="141"/>
      <c r="F13" s="27">
        <f>F12</f>
        <v>27936000</v>
      </c>
      <c r="G13" s="28">
        <f t="shared" si="1"/>
        <v>50</v>
      </c>
      <c r="H13" s="30">
        <f>H12</f>
        <v>13968000</v>
      </c>
      <c r="I13" s="27"/>
      <c r="J13" s="27">
        <f t="shared" ref="J13:U13" si="8">$D$12*J12</f>
        <v>2328000</v>
      </c>
      <c r="K13" s="27">
        <f t="shared" si="8"/>
        <v>2328000</v>
      </c>
      <c r="L13" s="27">
        <f t="shared" si="8"/>
        <v>2328000</v>
      </c>
      <c r="M13" s="27">
        <f t="shared" si="8"/>
        <v>2328000</v>
      </c>
      <c r="N13" s="27">
        <f t="shared" si="8"/>
        <v>2328000</v>
      </c>
      <c r="O13" s="27">
        <f t="shared" si="8"/>
        <v>2328000</v>
      </c>
      <c r="P13" s="27">
        <f t="shared" si="8"/>
        <v>0</v>
      </c>
      <c r="Q13" s="27">
        <f t="shared" si="8"/>
        <v>0</v>
      </c>
      <c r="R13" s="27">
        <f t="shared" si="8"/>
        <v>0</v>
      </c>
      <c r="S13" s="27">
        <f t="shared" si="8"/>
        <v>0</v>
      </c>
      <c r="T13" s="27">
        <f t="shared" si="8"/>
        <v>0</v>
      </c>
      <c r="U13" s="27">
        <f t="shared" si="8"/>
        <v>0</v>
      </c>
    </row>
    <row r="14" spans="1:21" ht="12.75">
      <c r="A14" s="143"/>
      <c r="B14" s="143"/>
      <c r="C14" s="150" t="s">
        <v>75</v>
      </c>
      <c r="D14" s="149"/>
      <c r="E14" s="141"/>
      <c r="F14" s="27">
        <f>F13*0.1</f>
        <v>2793600</v>
      </c>
      <c r="G14" s="28">
        <f t="shared" si="1"/>
        <v>50</v>
      </c>
      <c r="H14" s="30">
        <f>H13*0.1</f>
        <v>1396800</v>
      </c>
      <c r="I14" s="27"/>
      <c r="J14" s="27">
        <f t="shared" ref="J14:U14" si="9">J13*0.1</f>
        <v>232800</v>
      </c>
      <c r="K14" s="27">
        <f t="shared" si="9"/>
        <v>232800</v>
      </c>
      <c r="L14" s="27">
        <f t="shared" si="9"/>
        <v>232800</v>
      </c>
      <c r="M14" s="27">
        <f t="shared" si="9"/>
        <v>232800</v>
      </c>
      <c r="N14" s="27">
        <f t="shared" si="9"/>
        <v>232800</v>
      </c>
      <c r="O14" s="27">
        <f t="shared" si="9"/>
        <v>232800</v>
      </c>
      <c r="P14" s="27">
        <f t="shared" si="9"/>
        <v>0</v>
      </c>
      <c r="Q14" s="27">
        <f t="shared" si="9"/>
        <v>0</v>
      </c>
      <c r="R14" s="27">
        <f t="shared" si="9"/>
        <v>0</v>
      </c>
      <c r="S14" s="27">
        <f t="shared" si="9"/>
        <v>0</v>
      </c>
      <c r="T14" s="27">
        <f t="shared" si="9"/>
        <v>0</v>
      </c>
      <c r="U14" s="27">
        <f t="shared" si="9"/>
        <v>0</v>
      </c>
    </row>
    <row r="15" spans="1:21" ht="12.75">
      <c r="A15" s="144"/>
      <c r="B15" s="144"/>
      <c r="C15" s="150" t="s">
        <v>76</v>
      </c>
      <c r="D15" s="149"/>
      <c r="E15" s="141"/>
      <c r="F15" s="27">
        <f>F13+F14</f>
        <v>30729600</v>
      </c>
      <c r="G15" s="28">
        <f t="shared" si="1"/>
        <v>50</v>
      </c>
      <c r="H15" s="30">
        <f>H13+H14</f>
        <v>15364800</v>
      </c>
      <c r="I15" s="27"/>
      <c r="J15" s="27">
        <f t="shared" ref="J15:U15" si="10">J13+J14</f>
        <v>2560800</v>
      </c>
      <c r="K15" s="27">
        <f t="shared" si="10"/>
        <v>2560800</v>
      </c>
      <c r="L15" s="27">
        <f t="shared" si="10"/>
        <v>2560800</v>
      </c>
      <c r="M15" s="27">
        <f t="shared" si="10"/>
        <v>2560800</v>
      </c>
      <c r="N15" s="27">
        <f t="shared" si="10"/>
        <v>2560800</v>
      </c>
      <c r="O15" s="27">
        <f t="shared" si="10"/>
        <v>2560800</v>
      </c>
      <c r="P15" s="27">
        <f t="shared" si="10"/>
        <v>0</v>
      </c>
      <c r="Q15" s="27">
        <f t="shared" si="10"/>
        <v>0</v>
      </c>
      <c r="R15" s="27">
        <f t="shared" si="10"/>
        <v>0</v>
      </c>
      <c r="S15" s="27">
        <f t="shared" si="10"/>
        <v>0</v>
      </c>
      <c r="T15" s="27">
        <f t="shared" si="10"/>
        <v>0</v>
      </c>
      <c r="U15" s="27">
        <f t="shared" si="10"/>
        <v>0</v>
      </c>
    </row>
    <row r="16" spans="1:21" ht="12.75">
      <c r="A16" s="155">
        <v>3</v>
      </c>
      <c r="B16" s="142" t="s">
        <v>28</v>
      </c>
      <c r="C16" s="2" t="s">
        <v>68</v>
      </c>
      <c r="D16" s="156">
        <v>90000</v>
      </c>
      <c r="E16" s="156">
        <v>185</v>
      </c>
      <c r="F16" s="156">
        <f>D16*E16</f>
        <v>16650000</v>
      </c>
      <c r="G16" s="157">
        <f t="shared" si="1"/>
        <v>18.918918918918919</v>
      </c>
      <c r="H16" s="158">
        <f>SUM(J16:S17)*D16</f>
        <v>3150000</v>
      </c>
      <c r="I16" s="6">
        <f t="shared" ref="I16:I18" si="11">SUM(J16:S16)</f>
        <v>29</v>
      </c>
      <c r="J16" s="3">
        <v>10</v>
      </c>
      <c r="K16" s="3">
        <v>10</v>
      </c>
      <c r="L16" s="3">
        <v>7</v>
      </c>
      <c r="M16" s="3">
        <v>0</v>
      </c>
      <c r="N16" s="3">
        <v>1</v>
      </c>
      <c r="O16" s="3">
        <v>1</v>
      </c>
      <c r="P16" s="3"/>
      <c r="Q16" s="3"/>
      <c r="R16" s="3"/>
      <c r="S16" s="3"/>
      <c r="T16" s="3" t="str">
        <f ca="1">IFERROR(__xludf.DUMMYFUNCTION("sparkline({0,1},{""color"",""black""})"),"")</f>
        <v/>
      </c>
      <c r="U16" s="3" t="str">
        <f ca="1">IFERROR(__xludf.DUMMYFUNCTION("sparkline({0,1},{""color"",""black""})"),"")</f>
        <v/>
      </c>
    </row>
    <row r="17" spans="1:28" ht="12.75">
      <c r="A17" s="143"/>
      <c r="B17" s="143"/>
      <c r="C17" s="2" t="s">
        <v>78</v>
      </c>
      <c r="D17" s="144"/>
      <c r="E17" s="144"/>
      <c r="F17" s="144"/>
      <c r="G17" s="144"/>
      <c r="H17" s="144"/>
      <c r="I17" s="6">
        <f t="shared" si="11"/>
        <v>6</v>
      </c>
      <c r="J17" s="3"/>
      <c r="K17" s="3"/>
      <c r="L17" s="3"/>
      <c r="M17" s="3">
        <v>6</v>
      </c>
      <c r="N17" s="3"/>
      <c r="O17" s="3"/>
      <c r="P17" s="3"/>
      <c r="Q17" s="3"/>
      <c r="R17" s="3"/>
      <c r="S17" s="3"/>
      <c r="T17" s="3" t="str">
        <f ca="1">IFERROR(__xludf.DUMMYFUNCTION("sparkline({0,1},{""color"",""black""})"),"")</f>
        <v/>
      </c>
      <c r="U17" s="3" t="str">
        <f ca="1">IFERROR(__xludf.DUMMYFUNCTION("sparkline({0,1},{""color"",""black""})"),"")</f>
        <v/>
      </c>
    </row>
    <row r="18" spans="1:28" ht="12.75">
      <c r="A18" s="143"/>
      <c r="B18" s="143"/>
      <c r="C18" s="2" t="s">
        <v>79</v>
      </c>
      <c r="D18" s="5">
        <v>152000</v>
      </c>
      <c r="E18" s="5">
        <v>10</v>
      </c>
      <c r="F18" s="5">
        <f>D18*E18</f>
        <v>1520000</v>
      </c>
      <c r="G18" s="25">
        <f t="shared" ref="G18:G21" si="12">H18/F18*100</f>
        <v>60</v>
      </c>
      <c r="H18" s="24">
        <f>SUM(J18:S18)*D18</f>
        <v>912000</v>
      </c>
      <c r="I18" s="6">
        <f t="shared" si="11"/>
        <v>6</v>
      </c>
      <c r="J18" s="3">
        <v>1</v>
      </c>
      <c r="K18" s="3">
        <v>1</v>
      </c>
      <c r="L18" s="3">
        <v>1</v>
      </c>
      <c r="M18" s="3">
        <v>1</v>
      </c>
      <c r="N18" s="3">
        <v>1</v>
      </c>
      <c r="O18" s="3">
        <v>1</v>
      </c>
      <c r="P18" s="3"/>
      <c r="Q18" s="3"/>
      <c r="R18" s="3"/>
      <c r="S18" s="3"/>
      <c r="T18" s="3" t="str">
        <f ca="1">IFERROR(__xludf.DUMMYFUNCTION("sparkline({0,1},{""color"",""black""})"),"")</f>
        <v/>
      </c>
      <c r="U18" s="3" t="str">
        <f ca="1">IFERROR(__xludf.DUMMYFUNCTION("sparkline({0,1},{""color"",""black""})"),"")</f>
        <v/>
      </c>
    </row>
    <row r="19" spans="1:28" ht="12.75">
      <c r="A19" s="143"/>
      <c r="B19" s="143"/>
      <c r="C19" s="150" t="s">
        <v>74</v>
      </c>
      <c r="D19" s="149"/>
      <c r="E19" s="141"/>
      <c r="F19" s="31">
        <f>SUM(F16:F18)</f>
        <v>18170000</v>
      </c>
      <c r="G19" s="32">
        <f t="shared" si="12"/>
        <v>22.355531095211887</v>
      </c>
      <c r="H19" s="31">
        <f>SUM(H16:H18)</f>
        <v>4062000</v>
      </c>
      <c r="I19" s="27"/>
      <c r="J19" s="33">
        <f t="shared" ref="J19:S19" si="13">$D$16*J16+$D$16*J17+$D18*J18</f>
        <v>1052000</v>
      </c>
      <c r="K19" s="33">
        <f t="shared" si="13"/>
        <v>1052000</v>
      </c>
      <c r="L19" s="33">
        <f t="shared" si="13"/>
        <v>782000</v>
      </c>
      <c r="M19" s="33">
        <f t="shared" si="13"/>
        <v>692000</v>
      </c>
      <c r="N19" s="33">
        <f t="shared" si="13"/>
        <v>242000</v>
      </c>
      <c r="O19" s="33">
        <f t="shared" si="13"/>
        <v>242000</v>
      </c>
      <c r="P19" s="33">
        <f t="shared" si="13"/>
        <v>0</v>
      </c>
      <c r="Q19" s="33">
        <f t="shared" si="13"/>
        <v>0</v>
      </c>
      <c r="R19" s="33">
        <f t="shared" si="13"/>
        <v>0</v>
      </c>
      <c r="S19" s="33">
        <f t="shared" si="13"/>
        <v>0</v>
      </c>
      <c r="T19" s="31"/>
      <c r="U19" s="31"/>
    </row>
    <row r="20" spans="1:28" ht="12.75">
      <c r="A20" s="143"/>
      <c r="B20" s="143"/>
      <c r="C20" s="150" t="s">
        <v>75</v>
      </c>
      <c r="D20" s="149"/>
      <c r="E20" s="141"/>
      <c r="F20" s="31">
        <f>F19*0.1</f>
        <v>1817000</v>
      </c>
      <c r="G20" s="32">
        <f t="shared" si="12"/>
        <v>22.355531095211887</v>
      </c>
      <c r="H20" s="31">
        <f>H19*0.1</f>
        <v>406200</v>
      </c>
      <c r="I20" s="27"/>
      <c r="J20" s="33">
        <f t="shared" ref="J20:S20" si="14">J19*0.1</f>
        <v>105200</v>
      </c>
      <c r="K20" s="33">
        <f t="shared" si="14"/>
        <v>105200</v>
      </c>
      <c r="L20" s="33">
        <f t="shared" si="14"/>
        <v>78200</v>
      </c>
      <c r="M20" s="33">
        <f t="shared" si="14"/>
        <v>69200</v>
      </c>
      <c r="N20" s="33">
        <f t="shared" si="14"/>
        <v>24200</v>
      </c>
      <c r="O20" s="33">
        <f t="shared" si="14"/>
        <v>24200</v>
      </c>
      <c r="P20" s="33">
        <f t="shared" si="14"/>
        <v>0</v>
      </c>
      <c r="Q20" s="33">
        <f t="shared" si="14"/>
        <v>0</v>
      </c>
      <c r="R20" s="33">
        <f t="shared" si="14"/>
        <v>0</v>
      </c>
      <c r="S20" s="33">
        <f t="shared" si="14"/>
        <v>0</v>
      </c>
      <c r="T20" s="31"/>
      <c r="U20" s="31"/>
    </row>
    <row r="21" spans="1:28" ht="12.75">
      <c r="A21" s="144"/>
      <c r="B21" s="144"/>
      <c r="C21" s="150" t="s">
        <v>76</v>
      </c>
      <c r="D21" s="149"/>
      <c r="E21" s="141"/>
      <c r="F21" s="31">
        <f>F19+F20</f>
        <v>19987000</v>
      </c>
      <c r="G21" s="32">
        <f t="shared" si="12"/>
        <v>22.355531095211887</v>
      </c>
      <c r="H21" s="31">
        <f>H19+H20</f>
        <v>4468200</v>
      </c>
      <c r="I21" s="27"/>
      <c r="J21" s="33">
        <f t="shared" ref="J21:S21" si="15">J19+J20</f>
        <v>1157200</v>
      </c>
      <c r="K21" s="33">
        <f t="shared" si="15"/>
        <v>1157200</v>
      </c>
      <c r="L21" s="33">
        <f t="shared" si="15"/>
        <v>860200</v>
      </c>
      <c r="M21" s="33">
        <f t="shared" si="15"/>
        <v>761200</v>
      </c>
      <c r="N21" s="33">
        <f t="shared" si="15"/>
        <v>266200</v>
      </c>
      <c r="O21" s="33">
        <f t="shared" si="15"/>
        <v>266200</v>
      </c>
      <c r="P21" s="33">
        <f t="shared" si="15"/>
        <v>0</v>
      </c>
      <c r="Q21" s="33">
        <f t="shared" si="15"/>
        <v>0</v>
      </c>
      <c r="R21" s="33">
        <f t="shared" si="15"/>
        <v>0</v>
      </c>
      <c r="S21" s="33">
        <f t="shared" si="15"/>
        <v>0</v>
      </c>
      <c r="T21" s="31"/>
      <c r="U21" s="31"/>
    </row>
    <row r="22" spans="1:28" ht="12.75">
      <c r="A22" s="155">
        <v>4</v>
      </c>
      <c r="B22" s="142" t="s">
        <v>80</v>
      </c>
      <c r="C22" s="2" t="s">
        <v>81</v>
      </c>
      <c r="D22" s="5">
        <f>20000000/12</f>
        <v>1666666.6666666667</v>
      </c>
      <c r="E22" s="3">
        <v>12</v>
      </c>
      <c r="F22" s="34">
        <f>D22*E22</f>
        <v>20000000</v>
      </c>
      <c r="G22" s="35">
        <f>H22/E22*100</f>
        <v>75</v>
      </c>
      <c r="H22" s="36">
        <f>SUM(I22:R22)</f>
        <v>9</v>
      </c>
      <c r="I22" s="1">
        <v>3</v>
      </c>
      <c r="J22" s="3">
        <v>1</v>
      </c>
      <c r="K22" s="3">
        <v>1</v>
      </c>
      <c r="L22" s="3">
        <v>1</v>
      </c>
      <c r="M22" s="3">
        <v>1</v>
      </c>
      <c r="N22" s="3">
        <v>1</v>
      </c>
      <c r="O22" s="3">
        <v>1</v>
      </c>
      <c r="P22" s="3"/>
      <c r="Q22" s="3"/>
      <c r="R22" s="3"/>
      <c r="S22" s="3" t="str">
        <f ca="1">IFERROR(__xludf.DUMMYFUNCTION("sparkline({0,1},{""color"",""black""})"),"")</f>
        <v/>
      </c>
      <c r="T22" s="3" t="str">
        <f ca="1">IFERROR(__xludf.DUMMYFUNCTION("sparkline({0,1},{""color"",""black""})"),"")</f>
        <v/>
      </c>
      <c r="U22" s="3" t="str">
        <f ca="1">IFERROR(__xludf.DUMMYFUNCTION("sparkline({0,1},{""color"",""black""})"),"")</f>
        <v/>
      </c>
    </row>
    <row r="23" spans="1:28" ht="12.75">
      <c r="A23" s="143"/>
      <c r="B23" s="143"/>
      <c r="C23" s="150" t="s">
        <v>74</v>
      </c>
      <c r="D23" s="149"/>
      <c r="E23" s="141"/>
      <c r="F23" s="27">
        <v>18181818</v>
      </c>
      <c r="G23" s="28">
        <f t="shared" ref="G23:G42" si="16">H23/F23*100</f>
        <v>74.500008745000088</v>
      </c>
      <c r="H23" s="37">
        <f t="shared" ref="H23:H25" si="17">SUM(I23:R23)</f>
        <v>13545456</v>
      </c>
      <c r="I23" s="27">
        <v>4363636</v>
      </c>
      <c r="J23" s="33">
        <v>1454545</v>
      </c>
      <c r="K23" s="33">
        <v>1545455</v>
      </c>
      <c r="L23" s="33">
        <v>1545455</v>
      </c>
      <c r="M23" s="33">
        <v>1545455</v>
      </c>
      <c r="N23" s="33">
        <v>1545455</v>
      </c>
      <c r="O23" s="33">
        <v>1545455</v>
      </c>
      <c r="P23" s="33"/>
      <c r="Q23" s="33"/>
      <c r="R23" s="33"/>
      <c r="S23" s="33"/>
      <c r="T23" s="31"/>
      <c r="U23" s="31"/>
    </row>
    <row r="24" spans="1:28" ht="12.75">
      <c r="A24" s="143"/>
      <c r="B24" s="143"/>
      <c r="C24" s="150" t="s">
        <v>75</v>
      </c>
      <c r="D24" s="149"/>
      <c r="E24" s="141"/>
      <c r="F24" s="27">
        <f>F23*0.1</f>
        <v>1818181.8</v>
      </c>
      <c r="G24" s="28">
        <f t="shared" si="16"/>
        <v>74.49989324499893</v>
      </c>
      <c r="H24" s="37">
        <f t="shared" si="17"/>
        <v>1354543.5</v>
      </c>
      <c r="I24" s="27">
        <v>436364</v>
      </c>
      <c r="J24" s="33">
        <f>J23*0.1</f>
        <v>145454.5</v>
      </c>
      <c r="K24" s="33">
        <v>154545</v>
      </c>
      <c r="L24" s="33">
        <v>154545</v>
      </c>
      <c r="M24" s="33">
        <v>154545</v>
      </c>
      <c r="N24" s="33">
        <v>154545</v>
      </c>
      <c r="O24" s="33">
        <v>154545</v>
      </c>
      <c r="P24" s="33"/>
      <c r="Q24" s="33"/>
      <c r="R24" s="33"/>
      <c r="S24" s="33"/>
      <c r="T24" s="31"/>
      <c r="U24" s="31"/>
    </row>
    <row r="25" spans="1:28" ht="12.75">
      <c r="A25" s="144"/>
      <c r="B25" s="144"/>
      <c r="C25" s="150" t="s">
        <v>76</v>
      </c>
      <c r="D25" s="149"/>
      <c r="E25" s="141"/>
      <c r="F25" s="27">
        <f>F23+F24</f>
        <v>19999999.800000001</v>
      </c>
      <c r="G25" s="28">
        <f t="shared" si="16"/>
        <v>74.499998244999972</v>
      </c>
      <c r="H25" s="37">
        <f t="shared" si="17"/>
        <v>14899999.5</v>
      </c>
      <c r="I25" s="27">
        <f t="shared" ref="I25:R25" si="18">I23+I24</f>
        <v>4800000</v>
      </c>
      <c r="J25" s="33">
        <f t="shared" si="18"/>
        <v>1599999.5</v>
      </c>
      <c r="K25" s="33">
        <f t="shared" si="18"/>
        <v>1700000</v>
      </c>
      <c r="L25" s="33">
        <f t="shared" si="18"/>
        <v>1700000</v>
      </c>
      <c r="M25" s="33">
        <f t="shared" si="18"/>
        <v>1700000</v>
      </c>
      <c r="N25" s="33">
        <f t="shared" si="18"/>
        <v>1700000</v>
      </c>
      <c r="O25" s="33">
        <f t="shared" si="18"/>
        <v>1700000</v>
      </c>
      <c r="P25" s="33">
        <f t="shared" si="18"/>
        <v>0</v>
      </c>
      <c r="Q25" s="33">
        <f t="shared" si="18"/>
        <v>0</v>
      </c>
      <c r="R25" s="33">
        <f t="shared" si="18"/>
        <v>0</v>
      </c>
      <c r="S25" s="33"/>
      <c r="T25" s="31"/>
      <c r="U25" s="31"/>
    </row>
    <row r="26" spans="1:28" ht="12.75">
      <c r="A26" s="145">
        <v>5</v>
      </c>
      <c r="B26" s="142" t="s">
        <v>29</v>
      </c>
      <c r="C26" s="2" t="s">
        <v>68</v>
      </c>
      <c r="D26" s="5">
        <v>80000</v>
      </c>
      <c r="E26" s="3"/>
      <c r="F26" s="5">
        <f t="shared" ref="F26:F28" si="19">D26*E26</f>
        <v>0</v>
      </c>
      <c r="G26" s="8" t="e">
        <f t="shared" si="16"/>
        <v>#DIV/0!</v>
      </c>
      <c r="H26" s="36">
        <f t="shared" ref="H26:H28" si="20">SUM(I26:U26)*D26</f>
        <v>2560000</v>
      </c>
      <c r="I26" s="16"/>
      <c r="J26" s="3">
        <v>0</v>
      </c>
      <c r="K26" s="3">
        <v>2</v>
      </c>
      <c r="L26" s="15">
        <v>7</v>
      </c>
      <c r="M26" s="3">
        <v>7</v>
      </c>
      <c r="N26" s="3">
        <v>12</v>
      </c>
      <c r="O26" s="3">
        <v>4</v>
      </c>
      <c r="P26" s="3"/>
      <c r="Q26" s="3"/>
      <c r="R26" s="3"/>
      <c r="S26" s="3"/>
      <c r="T26" s="3"/>
      <c r="U26" s="3"/>
    </row>
    <row r="27" spans="1:28" ht="12.75">
      <c r="A27" s="143"/>
      <c r="B27" s="143"/>
      <c r="C27" s="2" t="s">
        <v>82</v>
      </c>
      <c r="D27" s="5">
        <v>700000</v>
      </c>
      <c r="E27" s="3"/>
      <c r="F27" s="5">
        <f t="shared" si="19"/>
        <v>0</v>
      </c>
      <c r="G27" s="8" t="e">
        <f t="shared" si="16"/>
        <v>#DIV/0!</v>
      </c>
      <c r="H27" s="36">
        <f t="shared" si="20"/>
        <v>0</v>
      </c>
      <c r="I27" s="16"/>
      <c r="J27" s="3">
        <v>0</v>
      </c>
      <c r="K27" s="3">
        <v>0</v>
      </c>
      <c r="L27" s="15">
        <v>0</v>
      </c>
      <c r="M27" s="3">
        <v>0</v>
      </c>
      <c r="N27" s="3">
        <v>0</v>
      </c>
      <c r="O27" s="3">
        <v>0</v>
      </c>
      <c r="P27" s="3"/>
      <c r="Q27" s="3"/>
      <c r="R27" s="3"/>
      <c r="S27" s="3"/>
      <c r="T27" s="3"/>
      <c r="U27" s="3"/>
    </row>
    <row r="28" spans="1:28" ht="12.75">
      <c r="A28" s="143"/>
      <c r="B28" s="143"/>
      <c r="C28" s="2" t="s">
        <v>79</v>
      </c>
      <c r="D28" s="5">
        <v>1000000</v>
      </c>
      <c r="E28" s="3"/>
      <c r="F28" s="5">
        <f t="shared" si="19"/>
        <v>0</v>
      </c>
      <c r="G28" s="8" t="e">
        <f t="shared" si="16"/>
        <v>#DIV/0!</v>
      </c>
      <c r="H28" s="36">
        <f t="shared" si="20"/>
        <v>0</v>
      </c>
      <c r="I28" s="16"/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/>
      <c r="Q28" s="3"/>
      <c r="R28" s="3"/>
      <c r="S28" s="3"/>
      <c r="T28" s="3"/>
      <c r="U28" s="3"/>
    </row>
    <row r="29" spans="1:28" ht="12.75">
      <c r="A29" s="143"/>
      <c r="B29" s="143"/>
      <c r="C29" s="150" t="s">
        <v>74</v>
      </c>
      <c r="D29" s="149"/>
      <c r="E29" s="141"/>
      <c r="F29" s="31">
        <f>SUM(F26:F28)</f>
        <v>0</v>
      </c>
      <c r="G29" s="38" t="e">
        <f t="shared" si="16"/>
        <v>#DIV/0!</v>
      </c>
      <c r="H29" s="31">
        <f t="shared" ref="H29:I29" si="21">SUM(H26:H28)</f>
        <v>2560000</v>
      </c>
      <c r="I29" s="31">
        <f t="shared" si="21"/>
        <v>0</v>
      </c>
      <c r="J29" s="33">
        <f t="shared" ref="J29:U29" si="22">$D26*J26+$D28*J28</f>
        <v>0</v>
      </c>
      <c r="K29" s="33">
        <f t="shared" si="22"/>
        <v>160000</v>
      </c>
      <c r="L29" s="33">
        <f t="shared" si="22"/>
        <v>560000</v>
      </c>
      <c r="M29" s="33">
        <f t="shared" si="22"/>
        <v>560000</v>
      </c>
      <c r="N29" s="33">
        <f t="shared" si="22"/>
        <v>960000</v>
      </c>
      <c r="O29" s="33">
        <f t="shared" si="22"/>
        <v>320000</v>
      </c>
      <c r="P29" s="33">
        <f t="shared" si="22"/>
        <v>0</v>
      </c>
      <c r="Q29" s="33">
        <f t="shared" si="22"/>
        <v>0</v>
      </c>
      <c r="R29" s="33">
        <f t="shared" si="22"/>
        <v>0</v>
      </c>
      <c r="S29" s="33">
        <f t="shared" si="22"/>
        <v>0</v>
      </c>
      <c r="T29" s="33">
        <f t="shared" si="22"/>
        <v>0</v>
      </c>
      <c r="U29" s="33">
        <f t="shared" si="22"/>
        <v>0</v>
      </c>
      <c r="V29" s="39"/>
      <c r="W29" s="39"/>
      <c r="X29" s="39"/>
      <c r="Y29" s="39"/>
      <c r="Z29" s="39"/>
      <c r="AA29" s="39"/>
      <c r="AB29" s="39"/>
    </row>
    <row r="30" spans="1:28" ht="12.75">
      <c r="A30" s="143"/>
      <c r="B30" s="143"/>
      <c r="C30" s="150" t="s">
        <v>75</v>
      </c>
      <c r="D30" s="149"/>
      <c r="E30" s="141"/>
      <c r="F30" s="31">
        <f>F29*0.1</f>
        <v>0</v>
      </c>
      <c r="G30" s="38" t="e">
        <f t="shared" si="16"/>
        <v>#DIV/0!</v>
      </c>
      <c r="H30" s="31">
        <f t="shared" ref="H30:U30" si="23">H29*0.1</f>
        <v>256000</v>
      </c>
      <c r="I30" s="40">
        <f t="shared" si="23"/>
        <v>0</v>
      </c>
      <c r="J30" s="40">
        <f t="shared" si="23"/>
        <v>0</v>
      </c>
      <c r="K30" s="40">
        <f t="shared" si="23"/>
        <v>16000</v>
      </c>
      <c r="L30" s="40">
        <f t="shared" si="23"/>
        <v>56000</v>
      </c>
      <c r="M30" s="40">
        <f t="shared" si="23"/>
        <v>56000</v>
      </c>
      <c r="N30" s="40">
        <f t="shared" si="23"/>
        <v>96000</v>
      </c>
      <c r="O30" s="40">
        <f t="shared" si="23"/>
        <v>32000</v>
      </c>
      <c r="P30" s="40">
        <f t="shared" si="23"/>
        <v>0</v>
      </c>
      <c r="Q30" s="40">
        <f t="shared" si="23"/>
        <v>0</v>
      </c>
      <c r="R30" s="40">
        <f t="shared" si="23"/>
        <v>0</v>
      </c>
      <c r="S30" s="40">
        <f t="shared" si="23"/>
        <v>0</v>
      </c>
      <c r="T30" s="40">
        <f t="shared" si="23"/>
        <v>0</v>
      </c>
      <c r="U30" s="40">
        <f t="shared" si="23"/>
        <v>0</v>
      </c>
      <c r="V30" s="39"/>
      <c r="W30" s="39"/>
      <c r="X30" s="39"/>
      <c r="Y30" s="39"/>
      <c r="Z30" s="39"/>
      <c r="AA30" s="39"/>
      <c r="AB30" s="39"/>
    </row>
    <row r="31" spans="1:28" ht="12.75">
      <c r="A31" s="144"/>
      <c r="B31" s="144"/>
      <c r="C31" s="150" t="s">
        <v>76</v>
      </c>
      <c r="D31" s="149"/>
      <c r="E31" s="141"/>
      <c r="F31" s="31">
        <f>F29+F30</f>
        <v>0</v>
      </c>
      <c r="G31" s="38" t="e">
        <f t="shared" si="16"/>
        <v>#DIV/0!</v>
      </c>
      <c r="H31" s="31">
        <f t="shared" ref="H31:U31" si="24">H29+H30</f>
        <v>2816000</v>
      </c>
      <c r="I31" s="31">
        <f t="shared" si="24"/>
        <v>0</v>
      </c>
      <c r="J31" s="31">
        <f t="shared" si="24"/>
        <v>0</v>
      </c>
      <c r="K31" s="31">
        <f t="shared" si="24"/>
        <v>176000</v>
      </c>
      <c r="L31" s="31">
        <f t="shared" si="24"/>
        <v>616000</v>
      </c>
      <c r="M31" s="31">
        <f t="shared" si="24"/>
        <v>616000</v>
      </c>
      <c r="N31" s="31">
        <f t="shared" si="24"/>
        <v>1056000</v>
      </c>
      <c r="O31" s="31">
        <f t="shared" si="24"/>
        <v>352000</v>
      </c>
      <c r="P31" s="31">
        <f t="shared" si="24"/>
        <v>0</v>
      </c>
      <c r="Q31" s="31">
        <f t="shared" si="24"/>
        <v>0</v>
      </c>
      <c r="R31" s="31">
        <f t="shared" si="24"/>
        <v>0</v>
      </c>
      <c r="S31" s="31">
        <f t="shared" si="24"/>
        <v>0</v>
      </c>
      <c r="T31" s="31">
        <f t="shared" si="24"/>
        <v>0</v>
      </c>
      <c r="U31" s="31">
        <f t="shared" si="24"/>
        <v>0</v>
      </c>
      <c r="V31" s="39"/>
      <c r="W31" s="39"/>
      <c r="X31" s="39"/>
      <c r="Y31" s="39"/>
      <c r="Z31" s="39"/>
      <c r="AA31" s="39"/>
      <c r="AB31" s="39"/>
    </row>
    <row r="32" spans="1:28" ht="12.75">
      <c r="A32" s="145">
        <v>6</v>
      </c>
      <c r="B32" s="142" t="s">
        <v>14</v>
      </c>
      <c r="C32" s="2" t="s">
        <v>68</v>
      </c>
      <c r="D32" s="5">
        <f>80000/1.1</f>
        <v>72727.272727272721</v>
      </c>
      <c r="E32" s="5">
        <v>1025</v>
      </c>
      <c r="F32" s="5">
        <f t="shared" ref="F32:F39" si="25">D32*E32</f>
        <v>74545454.545454532</v>
      </c>
      <c r="G32" s="8">
        <f t="shared" si="16"/>
        <v>51.902439024390247</v>
      </c>
      <c r="H32" s="36">
        <f t="shared" ref="H32:H39" si="26">SUM(I32:U32)*D32</f>
        <v>38690909.090909086</v>
      </c>
      <c r="I32" s="7">
        <v>121</v>
      </c>
      <c r="J32" s="3">
        <v>57</v>
      </c>
      <c r="K32" s="3">
        <v>74</v>
      </c>
      <c r="L32" s="15">
        <v>81</v>
      </c>
      <c r="M32" s="3">
        <v>71</v>
      </c>
      <c r="N32" s="3">
        <v>71</v>
      </c>
      <c r="O32" s="3">
        <v>57</v>
      </c>
      <c r="P32" s="3"/>
      <c r="Q32" s="3"/>
      <c r="R32" s="3"/>
      <c r="S32" s="3"/>
      <c r="T32" s="3"/>
      <c r="U32" s="15"/>
    </row>
    <row r="33" spans="1:28" ht="12.75">
      <c r="A33" s="143"/>
      <c r="B33" s="143"/>
      <c r="C33" s="2" t="s">
        <v>83</v>
      </c>
      <c r="D33" s="5">
        <f>800000/1.1</f>
        <v>727272.72727272718</v>
      </c>
      <c r="E33" s="3">
        <v>4</v>
      </c>
      <c r="F33" s="5">
        <f t="shared" si="25"/>
        <v>2909090.9090909087</v>
      </c>
      <c r="G33" s="8">
        <f t="shared" si="16"/>
        <v>25</v>
      </c>
      <c r="H33" s="36">
        <f t="shared" si="26"/>
        <v>727272.72727272718</v>
      </c>
      <c r="I33" s="16"/>
      <c r="J33" s="3">
        <v>0</v>
      </c>
      <c r="K33" s="3">
        <v>0</v>
      </c>
      <c r="L33" s="3">
        <v>0</v>
      </c>
      <c r="M33" s="3">
        <v>0</v>
      </c>
      <c r="N33" s="3">
        <v>1</v>
      </c>
      <c r="O33" s="3">
        <v>0</v>
      </c>
      <c r="P33" s="3"/>
      <c r="Q33" s="3"/>
      <c r="R33" s="3"/>
      <c r="S33" s="15"/>
      <c r="T33" s="15"/>
      <c r="U33" s="15"/>
    </row>
    <row r="34" spans="1:28" ht="12.75">
      <c r="A34" s="143"/>
      <c r="B34" s="143"/>
      <c r="C34" s="2" t="s">
        <v>84</v>
      </c>
      <c r="D34" s="5">
        <f>3600000/1.1</f>
        <v>3272727.2727272725</v>
      </c>
      <c r="E34" s="3">
        <v>4</v>
      </c>
      <c r="F34" s="5">
        <f t="shared" si="25"/>
        <v>13090909.09090909</v>
      </c>
      <c r="G34" s="8">
        <f t="shared" si="16"/>
        <v>50</v>
      </c>
      <c r="H34" s="36">
        <f t="shared" si="26"/>
        <v>6545454.5454545449</v>
      </c>
      <c r="I34" s="16"/>
      <c r="J34" s="3">
        <v>0</v>
      </c>
      <c r="K34" s="3">
        <v>1</v>
      </c>
      <c r="L34" s="3">
        <v>0</v>
      </c>
      <c r="M34" s="3">
        <v>1</v>
      </c>
      <c r="N34" s="3">
        <v>0</v>
      </c>
      <c r="O34" s="3">
        <v>0</v>
      </c>
      <c r="P34" s="3"/>
      <c r="Q34" s="3"/>
      <c r="R34" s="3"/>
      <c r="S34" s="15"/>
      <c r="T34" s="15"/>
      <c r="U34" s="15"/>
    </row>
    <row r="35" spans="1:28" ht="12.75">
      <c r="A35" s="143"/>
      <c r="B35" s="143"/>
      <c r="C35" s="2" t="s">
        <v>85</v>
      </c>
      <c r="D35" s="5">
        <f>960000/1.1</f>
        <v>872727.27272727271</v>
      </c>
      <c r="E35" s="3">
        <v>4</v>
      </c>
      <c r="F35" s="5">
        <f t="shared" si="25"/>
        <v>3490909.0909090908</v>
      </c>
      <c r="G35" s="8">
        <f t="shared" si="16"/>
        <v>75.000000000000014</v>
      </c>
      <c r="H35" s="36">
        <f t="shared" si="26"/>
        <v>2618181.8181818184</v>
      </c>
      <c r="I35" s="16"/>
      <c r="J35" s="3">
        <v>1</v>
      </c>
      <c r="K35" s="3">
        <v>0</v>
      </c>
      <c r="L35" s="3">
        <v>1</v>
      </c>
      <c r="M35" s="3">
        <v>0</v>
      </c>
      <c r="N35" s="3">
        <v>0</v>
      </c>
      <c r="O35" s="3">
        <v>1</v>
      </c>
      <c r="P35" s="3"/>
      <c r="Q35" s="3"/>
      <c r="R35" s="3"/>
      <c r="S35" s="15"/>
      <c r="T35" s="15"/>
      <c r="U35" s="15"/>
    </row>
    <row r="36" spans="1:28" ht="12.75">
      <c r="A36" s="143"/>
      <c r="B36" s="143"/>
      <c r="C36" s="2" t="s">
        <v>86</v>
      </c>
      <c r="D36" s="5">
        <f>850000/1.1</f>
        <v>772727.27272727271</v>
      </c>
      <c r="E36" s="3">
        <v>6</v>
      </c>
      <c r="F36" s="5">
        <f t="shared" si="25"/>
        <v>4636363.6363636367</v>
      </c>
      <c r="G36" s="8">
        <f t="shared" si="16"/>
        <v>50</v>
      </c>
      <c r="H36" s="36">
        <f t="shared" si="26"/>
        <v>2318181.8181818184</v>
      </c>
      <c r="I36" s="16"/>
      <c r="J36" s="3">
        <v>0</v>
      </c>
      <c r="K36" s="3">
        <v>1</v>
      </c>
      <c r="L36" s="3">
        <v>0</v>
      </c>
      <c r="M36" s="3">
        <v>0</v>
      </c>
      <c r="N36" s="3">
        <v>1</v>
      </c>
      <c r="O36" s="3">
        <v>1</v>
      </c>
      <c r="P36" s="3"/>
      <c r="Q36" s="3"/>
      <c r="R36" s="3"/>
      <c r="S36" s="15"/>
      <c r="T36" s="15"/>
      <c r="U36" s="15"/>
    </row>
    <row r="37" spans="1:28" ht="12.75">
      <c r="A37" s="143"/>
      <c r="B37" s="143"/>
      <c r="C37" s="2" t="s">
        <v>87</v>
      </c>
      <c r="D37" s="5">
        <f>600000/1.1</f>
        <v>545454.54545454541</v>
      </c>
      <c r="E37" s="3">
        <v>6</v>
      </c>
      <c r="F37" s="5">
        <f t="shared" si="25"/>
        <v>3272727.2727272725</v>
      </c>
      <c r="G37" s="8">
        <f t="shared" si="16"/>
        <v>50</v>
      </c>
      <c r="H37" s="36">
        <f t="shared" si="26"/>
        <v>1636363.6363636362</v>
      </c>
      <c r="I37" s="16"/>
      <c r="J37" s="3">
        <v>0</v>
      </c>
      <c r="K37" s="3">
        <v>1</v>
      </c>
      <c r="L37" s="3">
        <v>0</v>
      </c>
      <c r="M37" s="3">
        <v>1</v>
      </c>
      <c r="N37" s="3">
        <v>1</v>
      </c>
      <c r="O37" s="3">
        <v>0</v>
      </c>
      <c r="P37" s="3"/>
      <c r="Q37" s="3"/>
      <c r="R37" s="3"/>
      <c r="S37" s="15"/>
      <c r="T37" s="15"/>
      <c r="U37" s="15"/>
    </row>
    <row r="38" spans="1:28" ht="12.75">
      <c r="A38" s="143"/>
      <c r="B38" s="143"/>
      <c r="C38" s="2" t="s">
        <v>88</v>
      </c>
      <c r="D38" s="5">
        <f>200000/1.1</f>
        <v>181818.18181818179</v>
      </c>
      <c r="E38" s="3">
        <v>1</v>
      </c>
      <c r="F38" s="5">
        <f t="shared" si="25"/>
        <v>181818.18181818179</v>
      </c>
      <c r="G38" s="8">
        <f t="shared" si="16"/>
        <v>100</v>
      </c>
      <c r="H38" s="36">
        <f t="shared" si="26"/>
        <v>181818.18181818179</v>
      </c>
      <c r="I38" s="16"/>
      <c r="J38" s="3">
        <v>1</v>
      </c>
      <c r="K38" s="3">
        <v>0</v>
      </c>
      <c r="L38" s="3">
        <v>0</v>
      </c>
      <c r="M38" s="3">
        <v>0</v>
      </c>
      <c r="N38" s="3">
        <v>0</v>
      </c>
      <c r="O38" s="3">
        <v>0</v>
      </c>
      <c r="P38" s="3"/>
      <c r="Q38" s="3"/>
      <c r="R38" s="3"/>
      <c r="S38" s="15"/>
      <c r="T38" s="15"/>
      <c r="U38" s="15"/>
    </row>
    <row r="39" spans="1:28" ht="12.75">
      <c r="A39" s="143"/>
      <c r="B39" s="143"/>
      <c r="C39" s="2" t="s">
        <v>79</v>
      </c>
      <c r="D39" s="5">
        <f>100000/1.1</f>
        <v>90909.090909090897</v>
      </c>
      <c r="E39" s="3">
        <v>12</v>
      </c>
      <c r="F39" s="5">
        <f t="shared" si="25"/>
        <v>1090909.0909090908</v>
      </c>
      <c r="G39" s="8">
        <f t="shared" si="16"/>
        <v>50</v>
      </c>
      <c r="H39" s="36">
        <f t="shared" si="26"/>
        <v>545454.54545454541</v>
      </c>
      <c r="I39" s="16"/>
      <c r="J39" s="3">
        <v>1</v>
      </c>
      <c r="K39" s="3">
        <v>1</v>
      </c>
      <c r="L39" s="3">
        <v>1</v>
      </c>
      <c r="M39" s="3">
        <v>1</v>
      </c>
      <c r="N39" s="3">
        <v>1</v>
      </c>
      <c r="O39" s="3">
        <v>1</v>
      </c>
      <c r="P39" s="3"/>
      <c r="Q39" s="3"/>
      <c r="R39" s="3"/>
      <c r="S39" s="3"/>
      <c r="T39" s="3"/>
      <c r="U39" s="3"/>
    </row>
    <row r="40" spans="1:28" ht="12.75">
      <c r="A40" s="143"/>
      <c r="B40" s="143"/>
      <c r="C40" s="150" t="s">
        <v>74</v>
      </c>
      <c r="D40" s="149"/>
      <c r="E40" s="141"/>
      <c r="F40" s="31">
        <f>SUM(F32:F39)</f>
        <v>103218181.81818181</v>
      </c>
      <c r="G40" s="38">
        <f t="shared" si="16"/>
        <v>51.602959309494445</v>
      </c>
      <c r="H40" s="31">
        <f>SUM(H32:H39)</f>
        <v>53263636.36363636</v>
      </c>
      <c r="I40" s="41">
        <f t="shared" ref="I40:U40" si="27">$D32*I32+$D33*I33+$D34*I34+$D35*I35+$D36*I36+$D37*I37+$D38*I38+$D39*I39</f>
        <v>8800000</v>
      </c>
      <c r="J40" s="41">
        <f t="shared" si="27"/>
        <v>5290909.0909090899</v>
      </c>
      <c r="K40" s="41">
        <f t="shared" si="27"/>
        <v>10063636.363636363</v>
      </c>
      <c r="L40" s="41">
        <f t="shared" si="27"/>
        <v>6854545.4545454541</v>
      </c>
      <c r="M40" s="41">
        <f t="shared" si="27"/>
        <v>9072727.2727272734</v>
      </c>
      <c r="N40" s="41">
        <f t="shared" si="27"/>
        <v>7299999.9999999991</v>
      </c>
      <c r="O40" s="41">
        <f t="shared" si="27"/>
        <v>5881818.1818181807</v>
      </c>
      <c r="P40" s="41">
        <f t="shared" si="27"/>
        <v>0</v>
      </c>
      <c r="Q40" s="41">
        <f t="shared" si="27"/>
        <v>0</v>
      </c>
      <c r="R40" s="41">
        <f t="shared" si="27"/>
        <v>0</v>
      </c>
      <c r="S40" s="41">
        <f t="shared" si="27"/>
        <v>0</v>
      </c>
      <c r="T40" s="41">
        <f t="shared" si="27"/>
        <v>0</v>
      </c>
      <c r="U40" s="41">
        <f t="shared" si="27"/>
        <v>0</v>
      </c>
      <c r="V40" s="39"/>
      <c r="W40" s="39"/>
      <c r="X40" s="39"/>
      <c r="Y40" s="39"/>
      <c r="Z40" s="39"/>
      <c r="AA40" s="39"/>
      <c r="AB40" s="39"/>
    </row>
    <row r="41" spans="1:28" ht="12.75">
      <c r="A41" s="143"/>
      <c r="B41" s="143"/>
      <c r="C41" s="150" t="s">
        <v>75</v>
      </c>
      <c r="D41" s="149"/>
      <c r="E41" s="141"/>
      <c r="F41" s="31">
        <f>F40*0.1</f>
        <v>10321818.181818182</v>
      </c>
      <c r="G41" s="38">
        <f t="shared" si="16"/>
        <v>51.602959309494459</v>
      </c>
      <c r="H41" s="31">
        <f t="shared" ref="H41:U41" si="28">H40*0.1</f>
        <v>5326363.6363636367</v>
      </c>
      <c r="I41" s="40">
        <f t="shared" si="28"/>
        <v>880000</v>
      </c>
      <c r="J41" s="40">
        <f t="shared" si="28"/>
        <v>529090.90909090906</v>
      </c>
      <c r="K41" s="40">
        <f t="shared" si="28"/>
        <v>1006363.6363636364</v>
      </c>
      <c r="L41" s="40">
        <f t="shared" si="28"/>
        <v>685454.54545454541</v>
      </c>
      <c r="M41" s="40">
        <f t="shared" si="28"/>
        <v>907272.72727272741</v>
      </c>
      <c r="N41" s="40">
        <f t="shared" si="28"/>
        <v>730000</v>
      </c>
      <c r="O41" s="40">
        <f t="shared" si="28"/>
        <v>588181.81818181812</v>
      </c>
      <c r="P41" s="40">
        <f t="shared" si="28"/>
        <v>0</v>
      </c>
      <c r="Q41" s="40">
        <f t="shared" si="28"/>
        <v>0</v>
      </c>
      <c r="R41" s="40">
        <f t="shared" si="28"/>
        <v>0</v>
      </c>
      <c r="S41" s="40">
        <f t="shared" si="28"/>
        <v>0</v>
      </c>
      <c r="T41" s="40">
        <f t="shared" si="28"/>
        <v>0</v>
      </c>
      <c r="U41" s="40">
        <f t="shared" si="28"/>
        <v>0</v>
      </c>
      <c r="V41" s="39"/>
      <c r="W41" s="39"/>
      <c r="X41" s="39"/>
      <c r="Y41" s="39"/>
      <c r="Z41" s="39"/>
      <c r="AA41" s="39"/>
      <c r="AB41" s="39"/>
    </row>
    <row r="42" spans="1:28" ht="12.75">
      <c r="A42" s="144"/>
      <c r="B42" s="144"/>
      <c r="C42" s="150" t="s">
        <v>76</v>
      </c>
      <c r="D42" s="149"/>
      <c r="E42" s="141"/>
      <c r="F42" s="31">
        <f>F40+F41</f>
        <v>113540000</v>
      </c>
      <c r="G42" s="38">
        <f t="shared" si="16"/>
        <v>51.602959309494459</v>
      </c>
      <c r="H42" s="31">
        <f t="shared" ref="H42:U42" si="29">H40+H41</f>
        <v>58590000</v>
      </c>
      <c r="I42" s="31">
        <f t="shared" si="29"/>
        <v>9680000</v>
      </c>
      <c r="J42" s="31">
        <f t="shared" si="29"/>
        <v>5819999.9999999991</v>
      </c>
      <c r="K42" s="31">
        <f t="shared" si="29"/>
        <v>11070000</v>
      </c>
      <c r="L42" s="31">
        <f t="shared" si="29"/>
        <v>7540000</v>
      </c>
      <c r="M42" s="31">
        <f t="shared" si="29"/>
        <v>9980000</v>
      </c>
      <c r="N42" s="31">
        <f t="shared" si="29"/>
        <v>8029999.9999999991</v>
      </c>
      <c r="O42" s="31">
        <f t="shared" si="29"/>
        <v>6469999.9999999991</v>
      </c>
      <c r="P42" s="31">
        <f t="shared" si="29"/>
        <v>0</v>
      </c>
      <c r="Q42" s="31">
        <f t="shared" si="29"/>
        <v>0</v>
      </c>
      <c r="R42" s="31">
        <f t="shared" si="29"/>
        <v>0</v>
      </c>
      <c r="S42" s="31">
        <f t="shared" si="29"/>
        <v>0</v>
      </c>
      <c r="T42" s="31">
        <f t="shared" si="29"/>
        <v>0</v>
      </c>
      <c r="U42" s="31">
        <f t="shared" si="29"/>
        <v>0</v>
      </c>
      <c r="V42" s="39"/>
      <c r="W42" s="39"/>
      <c r="X42" s="39"/>
      <c r="Y42" s="39"/>
      <c r="Z42" s="39"/>
      <c r="AA42" s="39"/>
      <c r="AB42" s="39"/>
    </row>
    <row r="43" spans="1:28" ht="12.75">
      <c r="A43" s="145">
        <v>10</v>
      </c>
      <c r="B43" s="142" t="s">
        <v>30</v>
      </c>
      <c r="C43" s="2" t="s">
        <v>89</v>
      </c>
      <c r="D43" s="13">
        <v>500000</v>
      </c>
      <c r="E43" s="12">
        <v>1</v>
      </c>
      <c r="F43" s="12">
        <f t="shared" ref="F43:F49" si="30">D43*E43</f>
        <v>500000</v>
      </c>
      <c r="G43" s="8">
        <f t="shared" ref="G43:G49" si="31">H43/F43*100</f>
        <v>100</v>
      </c>
      <c r="H43" s="36">
        <f t="shared" ref="H43:H49" si="32">SUM(I43:U43)*D43</f>
        <v>500000</v>
      </c>
      <c r="I43" s="12"/>
      <c r="J43" s="12">
        <v>0</v>
      </c>
      <c r="K43" s="12">
        <v>1</v>
      </c>
      <c r="L43" s="12">
        <v>0</v>
      </c>
      <c r="M43" s="12">
        <v>0</v>
      </c>
      <c r="N43" s="12">
        <v>0</v>
      </c>
      <c r="O43" s="12">
        <v>0</v>
      </c>
      <c r="P43" s="12">
        <v>0</v>
      </c>
      <c r="Q43" s="12">
        <v>0</v>
      </c>
      <c r="R43" s="12">
        <v>0</v>
      </c>
      <c r="S43" s="12">
        <v>0</v>
      </c>
      <c r="T43" s="12">
        <v>0</v>
      </c>
      <c r="U43" s="12">
        <v>0</v>
      </c>
    </row>
    <row r="44" spans="1:28" ht="12.75">
      <c r="A44" s="143"/>
      <c r="B44" s="143"/>
      <c r="C44" s="2" t="s">
        <v>68</v>
      </c>
      <c r="D44" s="13">
        <v>68000</v>
      </c>
      <c r="E44" s="12">
        <v>200</v>
      </c>
      <c r="F44" s="12">
        <f t="shared" si="30"/>
        <v>13600000</v>
      </c>
      <c r="G44" s="8">
        <f t="shared" si="31"/>
        <v>24.5</v>
      </c>
      <c r="H44" s="36">
        <f t="shared" si="32"/>
        <v>3332000</v>
      </c>
      <c r="I44" s="12"/>
      <c r="J44" s="12">
        <v>1</v>
      </c>
      <c r="K44" s="12">
        <v>4</v>
      </c>
      <c r="L44" s="12">
        <v>7</v>
      </c>
      <c r="M44" s="12">
        <v>13</v>
      </c>
      <c r="N44" s="12">
        <v>12</v>
      </c>
      <c r="O44" s="12">
        <v>12</v>
      </c>
      <c r="P44" s="12"/>
      <c r="Q44" s="12"/>
      <c r="R44" s="12"/>
      <c r="S44" s="12"/>
      <c r="T44" s="12"/>
      <c r="U44" s="12"/>
    </row>
    <row r="45" spans="1:28" ht="12.75">
      <c r="A45" s="143"/>
      <c r="B45" s="143"/>
      <c r="C45" s="2" t="s">
        <v>93</v>
      </c>
      <c r="D45" s="13">
        <v>550000</v>
      </c>
      <c r="E45" s="12">
        <v>7</v>
      </c>
      <c r="F45" s="12">
        <f t="shared" si="30"/>
        <v>3850000</v>
      </c>
      <c r="G45" s="8">
        <f t="shared" si="31"/>
        <v>114.28571428571428</v>
      </c>
      <c r="H45" s="36">
        <f t="shared" si="32"/>
        <v>4400000</v>
      </c>
      <c r="I45" s="12"/>
      <c r="J45" s="12">
        <v>0</v>
      </c>
      <c r="K45" s="12">
        <v>0</v>
      </c>
      <c r="L45" s="12">
        <v>0</v>
      </c>
      <c r="M45" s="12">
        <v>0</v>
      </c>
      <c r="N45" s="12">
        <v>0</v>
      </c>
      <c r="O45" s="12">
        <v>0</v>
      </c>
      <c r="P45" s="12">
        <v>6</v>
      </c>
      <c r="Q45" s="12">
        <v>2</v>
      </c>
      <c r="R45" s="12"/>
      <c r="S45" s="12"/>
      <c r="T45" s="12"/>
      <c r="U45" s="12"/>
    </row>
    <row r="46" spans="1:28" ht="12.75">
      <c r="A46" s="143"/>
      <c r="B46" s="143"/>
      <c r="C46" s="2" t="s">
        <v>94</v>
      </c>
      <c r="D46" s="13">
        <v>900000</v>
      </c>
      <c r="E46" s="12">
        <v>7</v>
      </c>
      <c r="F46" s="12">
        <f t="shared" si="30"/>
        <v>6300000</v>
      </c>
      <c r="G46" s="8">
        <f t="shared" si="31"/>
        <v>114.28571428571428</v>
      </c>
      <c r="H46" s="36">
        <f t="shared" si="32"/>
        <v>7200000</v>
      </c>
      <c r="I46" s="12"/>
      <c r="J46" s="12">
        <v>0</v>
      </c>
      <c r="K46" s="12">
        <v>0</v>
      </c>
      <c r="L46" s="12">
        <v>0</v>
      </c>
      <c r="M46" s="12">
        <v>0</v>
      </c>
      <c r="N46" s="12">
        <v>0</v>
      </c>
      <c r="O46" s="12">
        <v>0</v>
      </c>
      <c r="P46" s="12">
        <v>4</v>
      </c>
      <c r="Q46" s="12">
        <v>4</v>
      </c>
      <c r="R46" s="12"/>
      <c r="S46" s="12"/>
      <c r="T46" s="12"/>
      <c r="U46" s="12"/>
    </row>
    <row r="47" spans="1:28" ht="12.75">
      <c r="A47" s="143"/>
      <c r="B47" s="143"/>
      <c r="C47" s="2" t="s">
        <v>95</v>
      </c>
      <c r="D47" s="13">
        <v>700000</v>
      </c>
      <c r="E47" s="12">
        <v>20</v>
      </c>
      <c r="F47" s="12">
        <f t="shared" si="30"/>
        <v>14000000</v>
      </c>
      <c r="G47" s="8">
        <f t="shared" si="31"/>
        <v>15</v>
      </c>
      <c r="H47" s="36">
        <f t="shared" si="32"/>
        <v>2100000</v>
      </c>
      <c r="I47" s="12"/>
      <c r="J47" s="12">
        <v>1</v>
      </c>
      <c r="K47" s="12">
        <v>1</v>
      </c>
      <c r="L47" s="12">
        <v>0</v>
      </c>
      <c r="M47" s="12">
        <v>1</v>
      </c>
      <c r="N47" s="12">
        <v>0</v>
      </c>
      <c r="O47" s="12">
        <v>0</v>
      </c>
      <c r="P47" s="12"/>
      <c r="Q47" s="12"/>
      <c r="R47" s="12"/>
      <c r="S47" s="12"/>
      <c r="T47" s="12"/>
      <c r="U47" s="12"/>
    </row>
    <row r="48" spans="1:28" ht="12.75">
      <c r="A48" s="143"/>
      <c r="B48" s="143"/>
      <c r="C48" s="2" t="s">
        <v>96</v>
      </c>
      <c r="D48" s="13">
        <v>2200000</v>
      </c>
      <c r="E48" s="12">
        <v>2</v>
      </c>
      <c r="F48" s="12">
        <f t="shared" si="30"/>
        <v>4400000</v>
      </c>
      <c r="G48" s="8">
        <f t="shared" si="31"/>
        <v>0</v>
      </c>
      <c r="H48" s="36">
        <f t="shared" si="32"/>
        <v>0</v>
      </c>
      <c r="I48" s="12"/>
      <c r="J48" s="12">
        <v>0</v>
      </c>
      <c r="K48" s="12">
        <v>0</v>
      </c>
      <c r="L48" s="12">
        <v>0</v>
      </c>
      <c r="M48" s="12">
        <v>0</v>
      </c>
      <c r="N48" s="12">
        <v>0</v>
      </c>
      <c r="O48" s="12">
        <v>0</v>
      </c>
      <c r="P48" s="12"/>
      <c r="Q48" s="12"/>
      <c r="R48" s="12"/>
      <c r="S48" s="12"/>
      <c r="T48" s="12"/>
      <c r="U48" s="12"/>
    </row>
    <row r="49" spans="1:21" ht="12.75">
      <c r="A49" s="143"/>
      <c r="B49" s="143"/>
      <c r="C49" s="53" t="s">
        <v>79</v>
      </c>
      <c r="D49" s="54">
        <v>100000</v>
      </c>
      <c r="E49" s="11">
        <v>12</v>
      </c>
      <c r="F49" s="12">
        <f t="shared" si="30"/>
        <v>1200000</v>
      </c>
      <c r="G49" s="8">
        <f t="shared" si="31"/>
        <v>50</v>
      </c>
      <c r="H49" s="36">
        <f t="shared" si="32"/>
        <v>600000</v>
      </c>
      <c r="I49" s="11"/>
      <c r="J49" s="11">
        <v>1</v>
      </c>
      <c r="K49" s="11">
        <v>1</v>
      </c>
      <c r="L49" s="11">
        <v>1</v>
      </c>
      <c r="M49" s="11">
        <v>1</v>
      </c>
      <c r="N49" s="11">
        <v>1</v>
      </c>
      <c r="O49" s="11">
        <v>1</v>
      </c>
      <c r="P49" s="11"/>
      <c r="Q49" s="11"/>
      <c r="R49" s="11"/>
      <c r="S49" s="11"/>
      <c r="T49" s="11"/>
      <c r="U49" s="11"/>
    </row>
    <row r="50" spans="1:21" ht="12.75">
      <c r="A50" s="143"/>
      <c r="B50" s="143"/>
      <c r="C50" s="154" t="s">
        <v>97</v>
      </c>
      <c r="D50" s="149"/>
      <c r="E50" s="141"/>
      <c r="F50" s="31">
        <f>SUM(F43:F49)</f>
        <v>43850000</v>
      </c>
      <c r="G50" s="38">
        <f>H52/F52*100</f>
        <v>41.350057012542756</v>
      </c>
      <c r="H50" s="31">
        <f t="shared" ref="H50:I50" si="33">SUM(H43:H49)</f>
        <v>18132000</v>
      </c>
      <c r="I50" s="31">
        <f t="shared" si="33"/>
        <v>0</v>
      </c>
      <c r="J50" s="27">
        <f t="shared" ref="J50:O50" si="34">$D$43*J43+$D$44*J44+$D$45*J45+$D$46*J46+$D$47*J47+$D$48*J48+$D$49*J49</f>
        <v>868000</v>
      </c>
      <c r="K50" s="27">
        <f t="shared" si="34"/>
        <v>1572000</v>
      </c>
      <c r="L50" s="27">
        <f t="shared" si="34"/>
        <v>576000</v>
      </c>
      <c r="M50" s="27">
        <f t="shared" si="34"/>
        <v>1684000</v>
      </c>
      <c r="N50" s="27">
        <f t="shared" si="34"/>
        <v>916000</v>
      </c>
      <c r="O50" s="27">
        <f t="shared" si="34"/>
        <v>916000</v>
      </c>
      <c r="P50" s="41">
        <f t="shared" ref="P50:S50" si="35">J43*P43+J44*P44+J45*P45+J46*P46+J47*P47+J48*P48+J49*P49</f>
        <v>0</v>
      </c>
      <c r="Q50" s="41">
        <f t="shared" si="35"/>
        <v>0</v>
      </c>
      <c r="R50" s="41">
        <f t="shared" si="35"/>
        <v>0</v>
      </c>
      <c r="S50" s="41">
        <f t="shared" si="35"/>
        <v>0</v>
      </c>
      <c r="T50" s="55"/>
      <c r="U50" s="12"/>
    </row>
    <row r="51" spans="1:21" ht="12.75">
      <c r="A51" s="143"/>
      <c r="B51" s="143"/>
      <c r="C51" s="154" t="s">
        <v>75</v>
      </c>
      <c r="D51" s="149"/>
      <c r="E51" s="141"/>
      <c r="F51" s="31">
        <f>F50*0.1</f>
        <v>4385000</v>
      </c>
      <c r="G51" s="38">
        <f>G50*10%</f>
        <v>4.1350057012542756</v>
      </c>
      <c r="H51" s="41">
        <f t="shared" ref="H51:Q51" si="36">H50*0.1</f>
        <v>1813200</v>
      </c>
      <c r="I51" s="31">
        <f t="shared" si="36"/>
        <v>0</v>
      </c>
      <c r="J51" s="40">
        <f t="shared" si="36"/>
        <v>86800</v>
      </c>
      <c r="K51" s="40">
        <f t="shared" si="36"/>
        <v>157200</v>
      </c>
      <c r="L51" s="40">
        <f t="shared" si="36"/>
        <v>57600</v>
      </c>
      <c r="M51" s="40">
        <f t="shared" si="36"/>
        <v>168400</v>
      </c>
      <c r="N51" s="31">
        <f t="shared" si="36"/>
        <v>91600</v>
      </c>
      <c r="O51" s="31">
        <f t="shared" si="36"/>
        <v>91600</v>
      </c>
      <c r="P51" s="31">
        <f t="shared" si="36"/>
        <v>0</v>
      </c>
      <c r="Q51" s="31">
        <f t="shared" si="36"/>
        <v>0</v>
      </c>
      <c r="R51" s="55"/>
      <c r="S51" s="55"/>
      <c r="T51" s="55"/>
      <c r="U51" s="12"/>
    </row>
    <row r="52" spans="1:21" ht="12.75">
      <c r="A52" s="144"/>
      <c r="B52" s="144"/>
      <c r="C52" s="154" t="s">
        <v>76</v>
      </c>
      <c r="D52" s="149"/>
      <c r="E52" s="141"/>
      <c r="F52" s="31">
        <f>F50+F51</f>
        <v>48235000</v>
      </c>
      <c r="G52" s="56">
        <f>SUM(G50:G51)</f>
        <v>45.485062713797035</v>
      </c>
      <c r="H52" s="31">
        <f t="shared" ref="H52:Q52" si="37">H50+H51</f>
        <v>19945200</v>
      </c>
      <c r="I52" s="31">
        <f t="shared" si="37"/>
        <v>0</v>
      </c>
      <c r="J52" s="31">
        <f t="shared" si="37"/>
        <v>954800</v>
      </c>
      <c r="K52" s="31">
        <f t="shared" si="37"/>
        <v>1729200</v>
      </c>
      <c r="L52" s="31">
        <f t="shared" si="37"/>
        <v>633600</v>
      </c>
      <c r="M52" s="31">
        <f t="shared" si="37"/>
        <v>1852400</v>
      </c>
      <c r="N52" s="31">
        <f t="shared" si="37"/>
        <v>1007600</v>
      </c>
      <c r="O52" s="31">
        <f t="shared" si="37"/>
        <v>1007600</v>
      </c>
      <c r="P52" s="31">
        <f t="shared" si="37"/>
        <v>0</v>
      </c>
      <c r="Q52" s="31">
        <f t="shared" si="37"/>
        <v>0</v>
      </c>
      <c r="R52" s="55"/>
      <c r="S52" s="55"/>
      <c r="T52" s="55"/>
      <c r="U52" s="12"/>
    </row>
    <row r="53" spans="1:21" ht="15" customHeight="1">
      <c r="A53" s="146">
        <v>11</v>
      </c>
      <c r="B53" s="147" t="s">
        <v>15</v>
      </c>
      <c r="C53" s="42" t="s">
        <v>68</v>
      </c>
      <c r="D53" s="18">
        <v>85000</v>
      </c>
      <c r="E53" s="18" t="s">
        <v>16</v>
      </c>
      <c r="F53" s="57" t="s">
        <v>16</v>
      </c>
      <c r="G53" s="57" t="s">
        <v>16</v>
      </c>
      <c r="H53" s="36">
        <f>SUM(I53:U53)*D53</f>
        <v>18530000</v>
      </c>
      <c r="I53" s="57"/>
      <c r="J53" s="17">
        <v>40</v>
      </c>
      <c r="K53" s="17">
        <v>31</v>
      </c>
      <c r="L53" s="17">
        <v>31</v>
      </c>
      <c r="M53" s="58">
        <v>33</v>
      </c>
      <c r="N53" s="58">
        <v>42</v>
      </c>
      <c r="O53" s="58">
        <v>41</v>
      </c>
      <c r="P53" s="58"/>
      <c r="Q53" s="58"/>
      <c r="R53" s="58"/>
      <c r="S53" s="58"/>
      <c r="T53" s="58"/>
      <c r="U53" s="58"/>
    </row>
    <row r="54" spans="1:21" ht="12.75">
      <c r="A54" s="143"/>
      <c r="B54" s="143"/>
      <c r="C54" s="154" t="s">
        <v>97</v>
      </c>
      <c r="D54" s="149"/>
      <c r="E54" s="141"/>
      <c r="F54" s="59" t="s">
        <v>16</v>
      </c>
      <c r="G54" s="59" t="s">
        <v>16</v>
      </c>
      <c r="H54" s="46">
        <f>SUM(I54:U54)</f>
        <v>18530000</v>
      </c>
      <c r="I54" s="41">
        <f t="shared" ref="I54:U54" si="38">$D53*I53</f>
        <v>0</v>
      </c>
      <c r="J54" s="41">
        <f t="shared" si="38"/>
        <v>3400000</v>
      </c>
      <c r="K54" s="41">
        <f t="shared" si="38"/>
        <v>2635000</v>
      </c>
      <c r="L54" s="41">
        <f t="shared" si="38"/>
        <v>2635000</v>
      </c>
      <c r="M54" s="41">
        <f t="shared" si="38"/>
        <v>2805000</v>
      </c>
      <c r="N54" s="41">
        <f t="shared" si="38"/>
        <v>3570000</v>
      </c>
      <c r="O54" s="41">
        <f t="shared" si="38"/>
        <v>3485000</v>
      </c>
      <c r="P54" s="41">
        <f t="shared" si="38"/>
        <v>0</v>
      </c>
      <c r="Q54" s="41">
        <f t="shared" si="38"/>
        <v>0</v>
      </c>
      <c r="R54" s="41">
        <f t="shared" si="38"/>
        <v>0</v>
      </c>
      <c r="S54" s="41">
        <f t="shared" si="38"/>
        <v>0</v>
      </c>
      <c r="T54" s="41">
        <f t="shared" si="38"/>
        <v>0</v>
      </c>
      <c r="U54" s="41">
        <f t="shared" si="38"/>
        <v>0</v>
      </c>
    </row>
    <row r="55" spans="1:21" ht="12.75">
      <c r="A55" s="143"/>
      <c r="B55" s="143"/>
      <c r="C55" s="154" t="s">
        <v>75</v>
      </c>
      <c r="D55" s="149"/>
      <c r="E55" s="141"/>
      <c r="F55" s="59" t="s">
        <v>16</v>
      </c>
      <c r="G55" s="59" t="s">
        <v>16</v>
      </c>
      <c r="H55" s="41">
        <f>H54*0.1</f>
        <v>1853000</v>
      </c>
      <c r="I55" s="41"/>
      <c r="J55" s="40">
        <f t="shared" ref="J55:O55" si="39">J54*0.1</f>
        <v>340000</v>
      </c>
      <c r="K55" s="40">
        <f t="shared" si="39"/>
        <v>263500</v>
      </c>
      <c r="L55" s="40">
        <f t="shared" si="39"/>
        <v>263500</v>
      </c>
      <c r="M55" s="40">
        <f t="shared" si="39"/>
        <v>280500</v>
      </c>
      <c r="N55" s="40">
        <f t="shared" si="39"/>
        <v>357000</v>
      </c>
      <c r="O55" s="40">
        <f t="shared" si="39"/>
        <v>348500</v>
      </c>
      <c r="P55" s="41"/>
      <c r="Q55" s="41"/>
      <c r="R55" s="41"/>
      <c r="S55" s="41"/>
      <c r="T55" s="41"/>
      <c r="U55" s="41"/>
    </row>
    <row r="56" spans="1:21" ht="12.75">
      <c r="A56" s="144"/>
      <c r="B56" s="144"/>
      <c r="C56" s="154" t="s">
        <v>76</v>
      </c>
      <c r="D56" s="149"/>
      <c r="E56" s="141"/>
      <c r="F56" s="59" t="s">
        <v>16</v>
      </c>
      <c r="G56" s="59" t="s">
        <v>16</v>
      </c>
      <c r="H56" s="31">
        <f>H54+H55</f>
        <v>20383000</v>
      </c>
      <c r="I56" s="41"/>
      <c r="J56" s="31">
        <f t="shared" ref="J56:O56" si="40">J54+J55</f>
        <v>3740000</v>
      </c>
      <c r="K56" s="31">
        <f t="shared" si="40"/>
        <v>2898500</v>
      </c>
      <c r="L56" s="31">
        <f t="shared" si="40"/>
        <v>2898500</v>
      </c>
      <c r="M56" s="31">
        <f t="shared" si="40"/>
        <v>3085500</v>
      </c>
      <c r="N56" s="31">
        <f t="shared" si="40"/>
        <v>3927000</v>
      </c>
      <c r="O56" s="31">
        <f t="shared" si="40"/>
        <v>3833500</v>
      </c>
      <c r="P56" s="41"/>
      <c r="Q56" s="41"/>
      <c r="R56" s="41"/>
      <c r="S56" s="41"/>
      <c r="T56" s="41"/>
      <c r="U56" s="41"/>
    </row>
    <row r="57" spans="1:21" ht="12.75">
      <c r="A57" s="146">
        <v>12</v>
      </c>
      <c r="B57" s="147" t="s">
        <v>17</v>
      </c>
      <c r="C57" s="42" t="s">
        <v>68</v>
      </c>
      <c r="D57" s="18">
        <v>85000</v>
      </c>
      <c r="E57" s="18" t="s">
        <v>16</v>
      </c>
      <c r="F57" s="57" t="s">
        <v>16</v>
      </c>
      <c r="G57" s="57" t="s">
        <v>16</v>
      </c>
      <c r="H57" s="36">
        <f>SUM(I57:U57)*D57</f>
        <v>340000</v>
      </c>
      <c r="I57" s="60"/>
      <c r="J57" s="57">
        <v>0</v>
      </c>
      <c r="K57" s="57">
        <v>2</v>
      </c>
      <c r="L57" s="17">
        <v>0</v>
      </c>
      <c r="M57" s="51">
        <v>1</v>
      </c>
      <c r="N57" s="51">
        <v>1</v>
      </c>
      <c r="O57" s="51">
        <v>0</v>
      </c>
      <c r="P57" s="51"/>
      <c r="Q57" s="51"/>
      <c r="R57" s="51"/>
      <c r="S57" s="51"/>
      <c r="T57" s="51"/>
      <c r="U57" s="51"/>
    </row>
    <row r="58" spans="1:21" ht="12.75">
      <c r="A58" s="143"/>
      <c r="B58" s="143"/>
      <c r="C58" s="154" t="s">
        <v>97</v>
      </c>
      <c r="D58" s="149"/>
      <c r="E58" s="141"/>
      <c r="F58" s="59" t="s">
        <v>16</v>
      </c>
      <c r="G58" s="59" t="s">
        <v>16</v>
      </c>
      <c r="H58" s="46">
        <f>SUM(I58:U58)</f>
        <v>340000</v>
      </c>
      <c r="I58" s="41"/>
      <c r="J58" s="41">
        <f t="shared" ref="J58:O58" si="41">$D57*J57</f>
        <v>0</v>
      </c>
      <c r="K58" s="41">
        <f t="shared" si="41"/>
        <v>170000</v>
      </c>
      <c r="L58" s="41">
        <f t="shared" si="41"/>
        <v>0</v>
      </c>
      <c r="M58" s="41">
        <f t="shared" si="41"/>
        <v>85000</v>
      </c>
      <c r="N58" s="41">
        <f t="shared" si="41"/>
        <v>85000</v>
      </c>
      <c r="O58" s="41">
        <f t="shared" si="41"/>
        <v>0</v>
      </c>
      <c r="P58" s="41"/>
      <c r="Q58" s="41"/>
      <c r="R58" s="41"/>
      <c r="S58" s="41"/>
      <c r="T58" s="41"/>
      <c r="U58" s="41"/>
    </row>
    <row r="59" spans="1:21" ht="12.75">
      <c r="A59" s="143"/>
      <c r="B59" s="143"/>
      <c r="C59" s="154" t="s">
        <v>75</v>
      </c>
      <c r="D59" s="149"/>
      <c r="E59" s="141"/>
      <c r="F59" s="59" t="s">
        <v>16</v>
      </c>
      <c r="G59" s="59" t="s">
        <v>16</v>
      </c>
      <c r="H59" s="41">
        <f>H58*0.1</f>
        <v>34000</v>
      </c>
      <c r="I59" s="41"/>
      <c r="J59" s="40">
        <f t="shared" ref="J59:O59" si="42">J58*0.1</f>
        <v>0</v>
      </c>
      <c r="K59" s="40">
        <f t="shared" si="42"/>
        <v>17000</v>
      </c>
      <c r="L59" s="40">
        <f t="shared" si="42"/>
        <v>0</v>
      </c>
      <c r="M59" s="40">
        <f t="shared" si="42"/>
        <v>8500</v>
      </c>
      <c r="N59" s="40">
        <f t="shared" si="42"/>
        <v>8500</v>
      </c>
      <c r="O59" s="40">
        <f t="shared" si="42"/>
        <v>0</v>
      </c>
      <c r="P59" s="41"/>
      <c r="Q59" s="41"/>
      <c r="R59" s="41"/>
      <c r="S59" s="41"/>
      <c r="T59" s="41"/>
      <c r="U59" s="41"/>
    </row>
    <row r="60" spans="1:21" ht="12.75">
      <c r="A60" s="144"/>
      <c r="B60" s="144"/>
      <c r="C60" s="154" t="s">
        <v>76</v>
      </c>
      <c r="D60" s="149"/>
      <c r="E60" s="141"/>
      <c r="F60" s="59" t="s">
        <v>16</v>
      </c>
      <c r="G60" s="59" t="s">
        <v>16</v>
      </c>
      <c r="H60" s="31">
        <f>H58+H59</f>
        <v>374000</v>
      </c>
      <c r="I60" s="41">
        <f>$D57*I57</f>
        <v>0</v>
      </c>
      <c r="J60" s="31">
        <f t="shared" ref="J60:N60" si="43">J58+J59</f>
        <v>0</v>
      </c>
      <c r="K60" s="31">
        <f t="shared" si="43"/>
        <v>187000</v>
      </c>
      <c r="L60" s="31">
        <f t="shared" si="43"/>
        <v>0</v>
      </c>
      <c r="M60" s="31">
        <f t="shared" si="43"/>
        <v>93500</v>
      </c>
      <c r="N60" s="31">
        <f t="shared" si="43"/>
        <v>93500</v>
      </c>
      <c r="O60" s="41">
        <f t="shared" ref="O60:U60" si="44">$D57*O57</f>
        <v>0</v>
      </c>
      <c r="P60" s="41">
        <f t="shared" si="44"/>
        <v>0</v>
      </c>
      <c r="Q60" s="41">
        <f t="shared" si="44"/>
        <v>0</v>
      </c>
      <c r="R60" s="41">
        <f t="shared" si="44"/>
        <v>0</v>
      </c>
      <c r="S60" s="41">
        <f t="shared" si="44"/>
        <v>0</v>
      </c>
      <c r="T60" s="41">
        <f t="shared" si="44"/>
        <v>0</v>
      </c>
      <c r="U60" s="41">
        <f t="shared" si="44"/>
        <v>0</v>
      </c>
    </row>
    <row r="61" spans="1:21" ht="12.75">
      <c r="A61" s="146">
        <v>13</v>
      </c>
      <c r="B61" s="147" t="s">
        <v>18</v>
      </c>
      <c r="C61" s="42" t="s">
        <v>68</v>
      </c>
      <c r="D61" s="18">
        <v>85000</v>
      </c>
      <c r="E61" s="18" t="s">
        <v>16</v>
      </c>
      <c r="F61" s="57" t="s">
        <v>16</v>
      </c>
      <c r="G61" s="57" t="s">
        <v>16</v>
      </c>
      <c r="H61" s="36">
        <f>SUM(I61:U61)*D61</f>
        <v>1615000</v>
      </c>
      <c r="I61" s="60"/>
      <c r="J61" s="17">
        <v>1</v>
      </c>
      <c r="K61" s="17">
        <v>3</v>
      </c>
      <c r="L61" s="17">
        <v>4</v>
      </c>
      <c r="M61" s="51">
        <v>3</v>
      </c>
      <c r="N61" s="51">
        <v>3</v>
      </c>
      <c r="O61" s="51">
        <v>5</v>
      </c>
      <c r="P61" s="51"/>
      <c r="Q61" s="51"/>
      <c r="R61" s="51"/>
      <c r="S61" s="51"/>
      <c r="T61" s="51"/>
      <c r="U61" s="51"/>
    </row>
    <row r="62" spans="1:21" ht="12.75">
      <c r="A62" s="143"/>
      <c r="B62" s="143"/>
      <c r="C62" s="154" t="s">
        <v>97</v>
      </c>
      <c r="D62" s="149"/>
      <c r="E62" s="141"/>
      <c r="F62" s="59" t="s">
        <v>16</v>
      </c>
      <c r="G62" s="59" t="s">
        <v>16</v>
      </c>
      <c r="H62" s="46">
        <f>SUM(I62:U62)</f>
        <v>1615000</v>
      </c>
      <c r="I62" s="41"/>
      <c r="J62" s="41">
        <f t="shared" ref="J62:O62" si="45">$D61*J61</f>
        <v>85000</v>
      </c>
      <c r="K62" s="41">
        <f t="shared" si="45"/>
        <v>255000</v>
      </c>
      <c r="L62" s="41">
        <f t="shared" si="45"/>
        <v>340000</v>
      </c>
      <c r="M62" s="41">
        <f t="shared" si="45"/>
        <v>255000</v>
      </c>
      <c r="N62" s="41">
        <f t="shared" si="45"/>
        <v>255000</v>
      </c>
      <c r="O62" s="41">
        <f t="shared" si="45"/>
        <v>425000</v>
      </c>
      <c r="P62" s="41"/>
      <c r="Q62" s="41"/>
      <c r="R62" s="41"/>
      <c r="S62" s="41"/>
      <c r="T62" s="41"/>
      <c r="U62" s="41"/>
    </row>
    <row r="63" spans="1:21" ht="12.75">
      <c r="A63" s="143"/>
      <c r="B63" s="143"/>
      <c r="C63" s="154" t="s">
        <v>75</v>
      </c>
      <c r="D63" s="149"/>
      <c r="E63" s="141"/>
      <c r="F63" s="59" t="s">
        <v>16</v>
      </c>
      <c r="G63" s="59" t="s">
        <v>16</v>
      </c>
      <c r="H63" s="41">
        <f>H62*0.1</f>
        <v>161500</v>
      </c>
      <c r="I63" s="41"/>
      <c r="J63" s="40">
        <f t="shared" ref="J63:O63" si="46">J62*0.1</f>
        <v>8500</v>
      </c>
      <c r="K63" s="40">
        <f t="shared" si="46"/>
        <v>25500</v>
      </c>
      <c r="L63" s="40">
        <f t="shared" si="46"/>
        <v>34000</v>
      </c>
      <c r="M63" s="40">
        <f t="shared" si="46"/>
        <v>25500</v>
      </c>
      <c r="N63" s="40">
        <f t="shared" si="46"/>
        <v>25500</v>
      </c>
      <c r="O63" s="40">
        <f t="shared" si="46"/>
        <v>42500</v>
      </c>
      <c r="P63" s="41"/>
      <c r="Q63" s="41"/>
      <c r="R63" s="41"/>
      <c r="S63" s="41"/>
      <c r="T63" s="41"/>
      <c r="U63" s="41"/>
    </row>
    <row r="64" spans="1:21" ht="12.75">
      <c r="A64" s="144"/>
      <c r="B64" s="144"/>
      <c r="C64" s="154" t="s">
        <v>76</v>
      </c>
      <c r="D64" s="149"/>
      <c r="E64" s="141"/>
      <c r="F64" s="59" t="s">
        <v>16</v>
      </c>
      <c r="G64" s="59" t="s">
        <v>16</v>
      </c>
      <c r="H64" s="31">
        <f>H62+H63</f>
        <v>1776500</v>
      </c>
      <c r="I64" s="41">
        <f>$D61*I61</f>
        <v>0</v>
      </c>
      <c r="J64" s="31">
        <f t="shared" ref="J64:N64" si="47">J62+J63</f>
        <v>93500</v>
      </c>
      <c r="K64" s="31">
        <f t="shared" si="47"/>
        <v>280500</v>
      </c>
      <c r="L64" s="31">
        <f t="shared" si="47"/>
        <v>374000</v>
      </c>
      <c r="M64" s="31">
        <f t="shared" si="47"/>
        <v>280500</v>
      </c>
      <c r="N64" s="31">
        <f t="shared" si="47"/>
        <v>280500</v>
      </c>
      <c r="O64" s="41">
        <f t="shared" ref="O64:U64" si="48">$D61*O61</f>
        <v>425000</v>
      </c>
      <c r="P64" s="41">
        <f t="shared" si="48"/>
        <v>0</v>
      </c>
      <c r="Q64" s="41">
        <f t="shared" si="48"/>
        <v>0</v>
      </c>
      <c r="R64" s="41">
        <f t="shared" si="48"/>
        <v>0</v>
      </c>
      <c r="S64" s="41">
        <f t="shared" si="48"/>
        <v>0</v>
      </c>
      <c r="T64" s="41">
        <f t="shared" si="48"/>
        <v>0</v>
      </c>
      <c r="U64" s="41">
        <f t="shared" si="48"/>
        <v>0</v>
      </c>
    </row>
    <row r="65" spans="1:21" ht="12.75">
      <c r="A65" s="146">
        <v>14</v>
      </c>
      <c r="B65" s="147" t="s">
        <v>19</v>
      </c>
      <c r="C65" s="42" t="s">
        <v>68</v>
      </c>
      <c r="D65" s="18">
        <v>85000</v>
      </c>
      <c r="E65" s="18" t="s">
        <v>16</v>
      </c>
      <c r="F65" s="57" t="s">
        <v>16</v>
      </c>
      <c r="G65" s="57" t="s">
        <v>16</v>
      </c>
      <c r="H65" s="36">
        <f>SUM(I65:U65)*D65</f>
        <v>2040000</v>
      </c>
      <c r="I65" s="60"/>
      <c r="J65" s="17">
        <v>8</v>
      </c>
      <c r="K65" s="17">
        <v>5</v>
      </c>
      <c r="L65" s="17">
        <v>2</v>
      </c>
      <c r="M65" s="51">
        <v>4</v>
      </c>
      <c r="N65" s="51">
        <v>5</v>
      </c>
      <c r="O65" s="51">
        <v>0</v>
      </c>
      <c r="P65" s="51"/>
      <c r="Q65" s="51"/>
      <c r="R65" s="51"/>
      <c r="S65" s="51"/>
      <c r="T65" s="51"/>
      <c r="U65" s="51"/>
    </row>
    <row r="66" spans="1:21" ht="12.75">
      <c r="A66" s="143"/>
      <c r="B66" s="143"/>
      <c r="C66" s="154" t="s">
        <v>97</v>
      </c>
      <c r="D66" s="149"/>
      <c r="E66" s="141"/>
      <c r="F66" s="59" t="s">
        <v>16</v>
      </c>
      <c r="G66" s="59" t="s">
        <v>16</v>
      </c>
      <c r="H66" s="46">
        <f>SUM(I66:U66)</f>
        <v>2040000</v>
      </c>
      <c r="I66" s="41"/>
      <c r="J66" s="41">
        <f t="shared" ref="J66:O66" si="49">$D65*J65</f>
        <v>680000</v>
      </c>
      <c r="K66" s="41">
        <f t="shared" si="49"/>
        <v>425000</v>
      </c>
      <c r="L66" s="41">
        <f t="shared" si="49"/>
        <v>170000</v>
      </c>
      <c r="M66" s="41">
        <f t="shared" si="49"/>
        <v>340000</v>
      </c>
      <c r="N66" s="41">
        <f t="shared" si="49"/>
        <v>425000</v>
      </c>
      <c r="O66" s="41">
        <f t="shared" si="49"/>
        <v>0</v>
      </c>
      <c r="P66" s="41"/>
      <c r="Q66" s="41"/>
      <c r="R66" s="41"/>
      <c r="S66" s="41"/>
      <c r="T66" s="41"/>
      <c r="U66" s="41"/>
    </row>
    <row r="67" spans="1:21" ht="12.75">
      <c r="A67" s="143"/>
      <c r="B67" s="143"/>
      <c r="C67" s="154" t="s">
        <v>75</v>
      </c>
      <c r="D67" s="149"/>
      <c r="E67" s="141"/>
      <c r="F67" s="59" t="s">
        <v>16</v>
      </c>
      <c r="G67" s="59" t="s">
        <v>16</v>
      </c>
      <c r="H67" s="41">
        <f>H66*0.1</f>
        <v>204000</v>
      </c>
      <c r="I67" s="41"/>
      <c r="J67" s="40">
        <f t="shared" ref="J67:O67" si="50">J66*0.1</f>
        <v>68000</v>
      </c>
      <c r="K67" s="40">
        <f t="shared" si="50"/>
        <v>42500</v>
      </c>
      <c r="L67" s="40">
        <f t="shared" si="50"/>
        <v>17000</v>
      </c>
      <c r="M67" s="40">
        <f t="shared" si="50"/>
        <v>34000</v>
      </c>
      <c r="N67" s="40">
        <f t="shared" si="50"/>
        <v>42500</v>
      </c>
      <c r="O67" s="40">
        <f t="shared" si="50"/>
        <v>0</v>
      </c>
      <c r="P67" s="41"/>
      <c r="Q67" s="41"/>
      <c r="R67" s="41"/>
      <c r="S67" s="41"/>
      <c r="T67" s="41"/>
      <c r="U67" s="41"/>
    </row>
    <row r="68" spans="1:21" ht="12.75">
      <c r="A68" s="144"/>
      <c r="B68" s="144"/>
      <c r="C68" s="154" t="s">
        <v>76</v>
      </c>
      <c r="D68" s="149"/>
      <c r="E68" s="141"/>
      <c r="F68" s="59" t="s">
        <v>16</v>
      </c>
      <c r="G68" s="59" t="s">
        <v>16</v>
      </c>
      <c r="H68" s="31">
        <f>H66+H67</f>
        <v>2244000</v>
      </c>
      <c r="I68" s="41">
        <f>$D65*I65</f>
        <v>0</v>
      </c>
      <c r="J68" s="31">
        <f t="shared" ref="J68:N68" si="51">J66+J67</f>
        <v>748000</v>
      </c>
      <c r="K68" s="31">
        <f t="shared" si="51"/>
        <v>467500</v>
      </c>
      <c r="L68" s="31">
        <f t="shared" si="51"/>
        <v>187000</v>
      </c>
      <c r="M68" s="31">
        <f t="shared" si="51"/>
        <v>374000</v>
      </c>
      <c r="N68" s="31">
        <f t="shared" si="51"/>
        <v>467500</v>
      </c>
      <c r="O68" s="41">
        <f t="shared" ref="O68:U68" si="52">$D65*O65</f>
        <v>0</v>
      </c>
      <c r="P68" s="41">
        <f t="shared" si="52"/>
        <v>0</v>
      </c>
      <c r="Q68" s="41">
        <f t="shared" si="52"/>
        <v>0</v>
      </c>
      <c r="R68" s="41">
        <f t="shared" si="52"/>
        <v>0</v>
      </c>
      <c r="S68" s="41">
        <f t="shared" si="52"/>
        <v>0</v>
      </c>
      <c r="T68" s="41">
        <f t="shared" si="52"/>
        <v>0</v>
      </c>
      <c r="U68" s="41">
        <f t="shared" si="52"/>
        <v>0</v>
      </c>
    </row>
    <row r="69" spans="1:21" ht="12.75">
      <c r="A69" s="146">
        <v>15</v>
      </c>
      <c r="B69" s="147" t="s">
        <v>20</v>
      </c>
      <c r="C69" s="42" t="s">
        <v>68</v>
      </c>
      <c r="D69" s="18">
        <v>85000</v>
      </c>
      <c r="E69" s="18" t="s">
        <v>16</v>
      </c>
      <c r="F69" s="57" t="s">
        <v>16</v>
      </c>
      <c r="G69" s="57" t="s">
        <v>16</v>
      </c>
      <c r="H69" s="36">
        <f>SUM(I69:U69)*D69</f>
        <v>2040000</v>
      </c>
      <c r="I69" s="60"/>
      <c r="J69" s="17">
        <v>3</v>
      </c>
      <c r="K69" s="17">
        <v>5</v>
      </c>
      <c r="L69" s="17">
        <v>0</v>
      </c>
      <c r="M69" s="51">
        <v>3</v>
      </c>
      <c r="N69" s="51">
        <v>0</v>
      </c>
      <c r="O69" s="51">
        <v>13</v>
      </c>
      <c r="P69" s="51"/>
      <c r="Q69" s="51"/>
      <c r="R69" s="51"/>
      <c r="S69" s="51"/>
      <c r="T69" s="51"/>
      <c r="U69" s="51"/>
    </row>
    <row r="70" spans="1:21" ht="12.75">
      <c r="A70" s="143"/>
      <c r="B70" s="143"/>
      <c r="C70" s="154" t="s">
        <v>97</v>
      </c>
      <c r="D70" s="149"/>
      <c r="E70" s="141"/>
      <c r="F70" s="59" t="s">
        <v>16</v>
      </c>
      <c r="G70" s="59" t="s">
        <v>16</v>
      </c>
      <c r="H70" s="46">
        <f>SUM(I70:U70)</f>
        <v>2040000</v>
      </c>
      <c r="I70" s="41"/>
      <c r="J70" s="41">
        <f t="shared" ref="J70:O70" si="53">$D69*J69</f>
        <v>255000</v>
      </c>
      <c r="K70" s="41">
        <f t="shared" si="53"/>
        <v>425000</v>
      </c>
      <c r="L70" s="41">
        <f t="shared" si="53"/>
        <v>0</v>
      </c>
      <c r="M70" s="41">
        <f t="shared" si="53"/>
        <v>255000</v>
      </c>
      <c r="N70" s="41">
        <f t="shared" si="53"/>
        <v>0</v>
      </c>
      <c r="O70" s="41">
        <f t="shared" si="53"/>
        <v>1105000</v>
      </c>
      <c r="P70" s="41"/>
      <c r="Q70" s="41"/>
      <c r="R70" s="41"/>
      <c r="S70" s="41"/>
      <c r="T70" s="41"/>
      <c r="U70" s="41"/>
    </row>
    <row r="71" spans="1:21" ht="12.75">
      <c r="A71" s="143"/>
      <c r="B71" s="143"/>
      <c r="C71" s="154" t="s">
        <v>75</v>
      </c>
      <c r="D71" s="149"/>
      <c r="E71" s="141"/>
      <c r="F71" s="59" t="s">
        <v>16</v>
      </c>
      <c r="G71" s="59" t="s">
        <v>16</v>
      </c>
      <c r="H71" s="41">
        <f>H70*0.1</f>
        <v>204000</v>
      </c>
      <c r="I71" s="41"/>
      <c r="J71" s="40">
        <f t="shared" ref="J71:O71" si="54">J70*0.1</f>
        <v>25500</v>
      </c>
      <c r="K71" s="40">
        <f t="shared" si="54"/>
        <v>42500</v>
      </c>
      <c r="L71" s="40">
        <f t="shared" si="54"/>
        <v>0</v>
      </c>
      <c r="M71" s="40">
        <f t="shared" si="54"/>
        <v>25500</v>
      </c>
      <c r="N71" s="40">
        <f t="shared" si="54"/>
        <v>0</v>
      </c>
      <c r="O71" s="40">
        <f t="shared" si="54"/>
        <v>110500</v>
      </c>
      <c r="P71" s="41"/>
      <c r="Q71" s="41"/>
      <c r="R71" s="41"/>
      <c r="S71" s="41"/>
      <c r="T71" s="41"/>
      <c r="U71" s="41"/>
    </row>
    <row r="72" spans="1:21" ht="12.75">
      <c r="A72" s="144"/>
      <c r="B72" s="144"/>
      <c r="C72" s="154" t="s">
        <v>76</v>
      </c>
      <c r="D72" s="149"/>
      <c r="E72" s="141"/>
      <c r="F72" s="59" t="s">
        <v>16</v>
      </c>
      <c r="G72" s="59" t="s">
        <v>16</v>
      </c>
      <c r="H72" s="31">
        <f>H70+H71</f>
        <v>2244000</v>
      </c>
      <c r="I72" s="41">
        <f>$D69*I69</f>
        <v>0</v>
      </c>
      <c r="J72" s="31">
        <f t="shared" ref="J72:O72" si="55">J70+J71</f>
        <v>280500</v>
      </c>
      <c r="K72" s="31">
        <f t="shared" si="55"/>
        <v>467500</v>
      </c>
      <c r="L72" s="31">
        <f t="shared" si="55"/>
        <v>0</v>
      </c>
      <c r="M72" s="31">
        <f t="shared" si="55"/>
        <v>280500</v>
      </c>
      <c r="N72" s="31">
        <f t="shared" si="55"/>
        <v>0</v>
      </c>
      <c r="O72" s="31">
        <f t="shared" si="55"/>
        <v>1215500</v>
      </c>
      <c r="P72" s="41">
        <f t="shared" ref="P72:U72" si="56">$D69*P69</f>
        <v>0</v>
      </c>
      <c r="Q72" s="41">
        <f t="shared" si="56"/>
        <v>0</v>
      </c>
      <c r="R72" s="41">
        <f t="shared" si="56"/>
        <v>0</v>
      </c>
      <c r="S72" s="41">
        <f t="shared" si="56"/>
        <v>0</v>
      </c>
      <c r="T72" s="41">
        <f t="shared" si="56"/>
        <v>0</v>
      </c>
      <c r="U72" s="41">
        <f t="shared" si="56"/>
        <v>0</v>
      </c>
    </row>
    <row r="73" spans="1:21" ht="12.75">
      <c r="A73" s="146">
        <v>16</v>
      </c>
      <c r="B73" s="147" t="s">
        <v>21</v>
      </c>
      <c r="C73" s="42" t="s">
        <v>68</v>
      </c>
      <c r="D73" s="18">
        <v>85000</v>
      </c>
      <c r="E73" s="18" t="s">
        <v>16</v>
      </c>
      <c r="F73" s="57" t="s">
        <v>16</v>
      </c>
      <c r="G73" s="57" t="s">
        <v>16</v>
      </c>
      <c r="H73" s="44">
        <f>SUM(I73:U73)*D73</f>
        <v>2380000</v>
      </c>
      <c r="I73" s="60"/>
      <c r="J73" s="17">
        <v>4</v>
      </c>
      <c r="K73" s="17">
        <v>8</v>
      </c>
      <c r="L73" s="17">
        <v>8</v>
      </c>
      <c r="M73" s="51">
        <v>6</v>
      </c>
      <c r="N73" s="51">
        <v>0</v>
      </c>
      <c r="O73" s="51">
        <v>2</v>
      </c>
      <c r="P73" s="51"/>
      <c r="Q73" s="51"/>
      <c r="R73" s="51"/>
      <c r="S73" s="51"/>
      <c r="T73" s="51"/>
      <c r="U73" s="51"/>
    </row>
    <row r="74" spans="1:21" ht="12.75">
      <c r="A74" s="143"/>
      <c r="B74" s="143"/>
      <c r="C74" s="154" t="s">
        <v>97</v>
      </c>
      <c r="D74" s="149"/>
      <c r="E74" s="141"/>
      <c r="F74" s="59" t="s">
        <v>16</v>
      </c>
      <c r="G74" s="59" t="s">
        <v>16</v>
      </c>
      <c r="H74" s="46">
        <f>SUM(I74:U74)</f>
        <v>2380000</v>
      </c>
      <c r="I74" s="41"/>
      <c r="J74" s="41">
        <f t="shared" ref="J74:O74" si="57">$D73*J73</f>
        <v>340000</v>
      </c>
      <c r="K74" s="41">
        <f t="shared" si="57"/>
        <v>680000</v>
      </c>
      <c r="L74" s="41">
        <f t="shared" si="57"/>
        <v>680000</v>
      </c>
      <c r="M74" s="41">
        <f t="shared" si="57"/>
        <v>510000</v>
      </c>
      <c r="N74" s="41">
        <f t="shared" si="57"/>
        <v>0</v>
      </c>
      <c r="O74" s="41">
        <f t="shared" si="57"/>
        <v>170000</v>
      </c>
      <c r="P74" s="41"/>
      <c r="Q74" s="41"/>
      <c r="R74" s="41"/>
      <c r="S74" s="41"/>
      <c r="T74" s="41"/>
      <c r="U74" s="41"/>
    </row>
    <row r="75" spans="1:21" ht="12.75">
      <c r="A75" s="143"/>
      <c r="B75" s="143"/>
      <c r="C75" s="154" t="s">
        <v>75</v>
      </c>
      <c r="D75" s="149"/>
      <c r="E75" s="141"/>
      <c r="F75" s="59" t="s">
        <v>16</v>
      </c>
      <c r="G75" s="59" t="s">
        <v>16</v>
      </c>
      <c r="H75" s="41">
        <f>H74*0.1</f>
        <v>238000</v>
      </c>
      <c r="I75" s="41"/>
      <c r="J75" s="40">
        <f t="shared" ref="J75:O75" si="58">J74*0.1</f>
        <v>34000</v>
      </c>
      <c r="K75" s="40">
        <f t="shared" si="58"/>
        <v>68000</v>
      </c>
      <c r="L75" s="40">
        <f t="shared" si="58"/>
        <v>68000</v>
      </c>
      <c r="M75" s="40">
        <f t="shared" si="58"/>
        <v>51000</v>
      </c>
      <c r="N75" s="40">
        <f t="shared" si="58"/>
        <v>0</v>
      </c>
      <c r="O75" s="40">
        <f t="shared" si="58"/>
        <v>17000</v>
      </c>
      <c r="P75" s="41"/>
      <c r="Q75" s="41"/>
      <c r="R75" s="41"/>
      <c r="S75" s="41"/>
      <c r="T75" s="41"/>
      <c r="U75" s="41"/>
    </row>
    <row r="76" spans="1:21" ht="12.75">
      <c r="A76" s="144"/>
      <c r="B76" s="144"/>
      <c r="C76" s="154" t="s">
        <v>76</v>
      </c>
      <c r="D76" s="149"/>
      <c r="E76" s="141"/>
      <c r="F76" s="59" t="s">
        <v>16</v>
      </c>
      <c r="G76" s="59" t="s">
        <v>16</v>
      </c>
      <c r="H76" s="31">
        <f>H74+H75</f>
        <v>2618000</v>
      </c>
      <c r="I76" s="41">
        <f>$D73*I73</f>
        <v>0</v>
      </c>
      <c r="J76" s="31">
        <f t="shared" ref="J76:O76" si="59">J74+J75</f>
        <v>374000</v>
      </c>
      <c r="K76" s="31">
        <f t="shared" si="59"/>
        <v>748000</v>
      </c>
      <c r="L76" s="31">
        <f t="shared" si="59"/>
        <v>748000</v>
      </c>
      <c r="M76" s="31">
        <f t="shared" si="59"/>
        <v>561000</v>
      </c>
      <c r="N76" s="31">
        <f t="shared" si="59"/>
        <v>0</v>
      </c>
      <c r="O76" s="31">
        <f t="shared" si="59"/>
        <v>187000</v>
      </c>
      <c r="P76" s="41">
        <f t="shared" ref="P76:U76" si="60">$D73*P73</f>
        <v>0</v>
      </c>
      <c r="Q76" s="41">
        <f t="shared" si="60"/>
        <v>0</v>
      </c>
      <c r="R76" s="41">
        <f t="shared" si="60"/>
        <v>0</v>
      </c>
      <c r="S76" s="41">
        <f t="shared" si="60"/>
        <v>0</v>
      </c>
      <c r="T76" s="41">
        <f t="shared" si="60"/>
        <v>0</v>
      </c>
      <c r="U76" s="41">
        <f t="shared" si="60"/>
        <v>0</v>
      </c>
    </row>
    <row r="77" spans="1:21" ht="12.75">
      <c r="A77" s="146">
        <v>17</v>
      </c>
      <c r="B77" s="147" t="s">
        <v>22</v>
      </c>
      <c r="C77" s="42" t="s">
        <v>68</v>
      </c>
      <c r="D77" s="18">
        <v>85000</v>
      </c>
      <c r="E77" s="18" t="s">
        <v>16</v>
      </c>
      <c r="F77" s="57" t="s">
        <v>16</v>
      </c>
      <c r="G77" s="57" t="s">
        <v>16</v>
      </c>
      <c r="H77" s="44">
        <f>SUM(I77:U77)*D77</f>
        <v>340000</v>
      </c>
      <c r="I77" s="60"/>
      <c r="J77" s="17">
        <v>2</v>
      </c>
      <c r="K77" s="17">
        <v>0</v>
      </c>
      <c r="L77" s="17">
        <v>1</v>
      </c>
      <c r="M77" s="51">
        <v>0</v>
      </c>
      <c r="N77" s="51">
        <v>0</v>
      </c>
      <c r="O77" s="51">
        <v>1</v>
      </c>
      <c r="P77" s="51"/>
      <c r="Q77" s="51"/>
      <c r="R77" s="51"/>
      <c r="S77" s="51"/>
      <c r="T77" s="51"/>
      <c r="U77" s="51"/>
    </row>
    <row r="78" spans="1:21" ht="12.75">
      <c r="A78" s="143"/>
      <c r="B78" s="143"/>
      <c r="C78" s="154" t="s">
        <v>97</v>
      </c>
      <c r="D78" s="149"/>
      <c r="E78" s="141"/>
      <c r="F78" s="59" t="s">
        <v>16</v>
      </c>
      <c r="G78" s="59" t="s">
        <v>16</v>
      </c>
      <c r="H78" s="46">
        <f>SUM(I78:U78)</f>
        <v>340000</v>
      </c>
      <c r="I78" s="41"/>
      <c r="J78" s="41">
        <f t="shared" ref="J78:O78" si="61">$D77*J77</f>
        <v>170000</v>
      </c>
      <c r="K78" s="41">
        <f t="shared" si="61"/>
        <v>0</v>
      </c>
      <c r="L78" s="41">
        <f t="shared" si="61"/>
        <v>85000</v>
      </c>
      <c r="M78" s="41">
        <f t="shared" si="61"/>
        <v>0</v>
      </c>
      <c r="N78" s="41">
        <f t="shared" si="61"/>
        <v>0</v>
      </c>
      <c r="O78" s="41">
        <f t="shared" si="61"/>
        <v>85000</v>
      </c>
      <c r="P78" s="41"/>
      <c r="Q78" s="41"/>
      <c r="R78" s="41"/>
      <c r="S78" s="41"/>
      <c r="T78" s="41"/>
      <c r="U78" s="41"/>
    </row>
    <row r="79" spans="1:21" ht="12.75">
      <c r="A79" s="143"/>
      <c r="B79" s="143"/>
      <c r="C79" s="154" t="s">
        <v>75</v>
      </c>
      <c r="D79" s="149"/>
      <c r="E79" s="141"/>
      <c r="F79" s="59" t="s">
        <v>16</v>
      </c>
      <c r="G79" s="59" t="s">
        <v>16</v>
      </c>
      <c r="H79" s="41">
        <f>H78*0.1</f>
        <v>34000</v>
      </c>
      <c r="I79" s="41"/>
      <c r="J79" s="40">
        <f t="shared" ref="J79:O79" si="62">J78*0.1</f>
        <v>17000</v>
      </c>
      <c r="K79" s="40">
        <f t="shared" si="62"/>
        <v>0</v>
      </c>
      <c r="L79" s="40">
        <f t="shared" si="62"/>
        <v>8500</v>
      </c>
      <c r="M79" s="40">
        <f t="shared" si="62"/>
        <v>0</v>
      </c>
      <c r="N79" s="40">
        <f t="shared" si="62"/>
        <v>0</v>
      </c>
      <c r="O79" s="40">
        <f t="shared" si="62"/>
        <v>8500</v>
      </c>
      <c r="P79" s="41"/>
      <c r="Q79" s="41"/>
      <c r="R79" s="41"/>
      <c r="S79" s="41"/>
      <c r="T79" s="41"/>
      <c r="U79" s="41"/>
    </row>
    <row r="80" spans="1:21" ht="12.75">
      <c r="A80" s="144"/>
      <c r="B80" s="144"/>
      <c r="C80" s="154" t="s">
        <v>76</v>
      </c>
      <c r="D80" s="149"/>
      <c r="E80" s="141"/>
      <c r="F80" s="59" t="s">
        <v>16</v>
      </c>
      <c r="G80" s="59" t="s">
        <v>16</v>
      </c>
      <c r="H80" s="31">
        <f>H78+H79</f>
        <v>374000</v>
      </c>
      <c r="I80" s="41">
        <f>$D77*I77</f>
        <v>0</v>
      </c>
      <c r="J80" s="31">
        <f t="shared" ref="J80:O80" si="63">J78+J79</f>
        <v>187000</v>
      </c>
      <c r="K80" s="31">
        <f t="shared" si="63"/>
        <v>0</v>
      </c>
      <c r="L80" s="31">
        <f t="shared" si="63"/>
        <v>93500</v>
      </c>
      <c r="M80" s="31">
        <f t="shared" si="63"/>
        <v>0</v>
      </c>
      <c r="N80" s="31">
        <f t="shared" si="63"/>
        <v>0</v>
      </c>
      <c r="O80" s="31">
        <f t="shared" si="63"/>
        <v>93500</v>
      </c>
      <c r="P80" s="41">
        <f t="shared" ref="P80:U80" si="64">$D77*P77</f>
        <v>0</v>
      </c>
      <c r="Q80" s="41">
        <f t="shared" si="64"/>
        <v>0</v>
      </c>
      <c r="R80" s="41">
        <f t="shared" si="64"/>
        <v>0</v>
      </c>
      <c r="S80" s="41">
        <f t="shared" si="64"/>
        <v>0</v>
      </c>
      <c r="T80" s="41">
        <f t="shared" si="64"/>
        <v>0</v>
      </c>
      <c r="U80" s="41">
        <f t="shared" si="64"/>
        <v>0</v>
      </c>
    </row>
    <row r="81" spans="1:28" ht="12.75">
      <c r="A81" s="145">
        <v>23</v>
      </c>
      <c r="B81" s="142" t="s">
        <v>98</v>
      </c>
      <c r="C81" s="2" t="s">
        <v>68</v>
      </c>
      <c r="D81" s="5">
        <v>100000</v>
      </c>
      <c r="E81" s="12" t="s">
        <v>16</v>
      </c>
      <c r="F81" s="13">
        <v>0</v>
      </c>
      <c r="G81" s="61" t="e">
        <f t="shared" ref="G81:G84" si="65">H81/F81*100</f>
        <v>#DIV/0!</v>
      </c>
      <c r="H81" s="44">
        <f t="shared" ref="H81:H83" si="66">SUM(I81:U81)*D81</f>
        <v>400000</v>
      </c>
      <c r="I81" s="3"/>
      <c r="J81" s="3"/>
      <c r="K81" s="3"/>
      <c r="L81" s="15"/>
      <c r="M81" s="3">
        <v>1</v>
      </c>
      <c r="N81" s="3">
        <v>3</v>
      </c>
      <c r="O81" s="16"/>
      <c r="P81" s="16"/>
      <c r="Q81" s="16"/>
      <c r="R81" s="16"/>
      <c r="S81" s="16"/>
      <c r="T81" s="16"/>
      <c r="U81" s="16"/>
    </row>
    <row r="82" spans="1:28" ht="12.75">
      <c r="A82" s="143"/>
      <c r="B82" s="143"/>
      <c r="C82" s="2" t="s">
        <v>82</v>
      </c>
      <c r="D82" s="5">
        <v>800000</v>
      </c>
      <c r="E82" s="12" t="s">
        <v>16</v>
      </c>
      <c r="F82" s="13">
        <v>0</v>
      </c>
      <c r="G82" s="61" t="e">
        <f t="shared" si="65"/>
        <v>#DIV/0!</v>
      </c>
      <c r="H82" s="44">
        <f t="shared" si="66"/>
        <v>0</v>
      </c>
      <c r="I82" s="3"/>
      <c r="J82" s="3"/>
      <c r="K82" s="3"/>
      <c r="L82" s="15"/>
      <c r="M82" s="3"/>
      <c r="N82" s="3"/>
      <c r="O82" s="16"/>
      <c r="P82" s="16"/>
      <c r="Q82" s="16"/>
      <c r="R82" s="16"/>
      <c r="S82" s="16"/>
      <c r="T82" s="16"/>
      <c r="U82" s="16"/>
    </row>
    <row r="83" spans="1:28" ht="12.75">
      <c r="A83" s="143"/>
      <c r="B83" s="143"/>
      <c r="C83" s="2" t="s">
        <v>79</v>
      </c>
      <c r="D83" s="5">
        <v>200000</v>
      </c>
      <c r="E83" s="12">
        <v>12</v>
      </c>
      <c r="F83" s="5">
        <f>D83*E83</f>
        <v>2400000</v>
      </c>
      <c r="G83" s="50">
        <f t="shared" si="65"/>
        <v>100</v>
      </c>
      <c r="H83" s="44">
        <f t="shared" si="66"/>
        <v>2400000</v>
      </c>
      <c r="I83" s="3">
        <v>7</v>
      </c>
      <c r="J83" s="3">
        <v>1</v>
      </c>
      <c r="K83" s="3">
        <v>1</v>
      </c>
      <c r="L83" s="3">
        <v>1</v>
      </c>
      <c r="M83" s="3">
        <v>1</v>
      </c>
      <c r="N83" s="3">
        <v>1</v>
      </c>
      <c r="O83" s="16"/>
      <c r="P83" s="16"/>
      <c r="Q83" s="16"/>
      <c r="R83" s="16"/>
      <c r="S83" s="16"/>
      <c r="T83" s="16"/>
      <c r="U83" s="16"/>
    </row>
    <row r="84" spans="1:28" ht="12.75">
      <c r="A84" s="143"/>
      <c r="B84" s="143"/>
      <c r="C84" s="150" t="s">
        <v>74</v>
      </c>
      <c r="D84" s="149"/>
      <c r="E84" s="141"/>
      <c r="F84" s="31">
        <f>SUM(F83)</f>
        <v>2400000</v>
      </c>
      <c r="G84" s="38">
        <f t="shared" si="65"/>
        <v>116.66666666666667</v>
      </c>
      <c r="H84" s="31">
        <f>SUM(I84:U84)</f>
        <v>2800000</v>
      </c>
      <c r="I84" s="41">
        <f t="shared" ref="I84:U84" si="67">$D81*I81+$D82*I82+$D83*I83</f>
        <v>1400000</v>
      </c>
      <c r="J84" s="41">
        <f t="shared" si="67"/>
        <v>200000</v>
      </c>
      <c r="K84" s="41">
        <f t="shared" si="67"/>
        <v>200000</v>
      </c>
      <c r="L84" s="41">
        <f t="shared" si="67"/>
        <v>200000</v>
      </c>
      <c r="M84" s="41">
        <f t="shared" si="67"/>
        <v>300000</v>
      </c>
      <c r="N84" s="41">
        <f t="shared" si="67"/>
        <v>500000</v>
      </c>
      <c r="O84" s="16">
        <f t="shared" si="67"/>
        <v>0</v>
      </c>
      <c r="P84" s="16">
        <f t="shared" si="67"/>
        <v>0</v>
      </c>
      <c r="Q84" s="16">
        <f t="shared" si="67"/>
        <v>0</v>
      </c>
      <c r="R84" s="16">
        <f t="shared" si="67"/>
        <v>0</v>
      </c>
      <c r="S84" s="16">
        <f t="shared" si="67"/>
        <v>0</v>
      </c>
      <c r="T84" s="16">
        <f t="shared" si="67"/>
        <v>0</v>
      </c>
      <c r="U84" s="16">
        <f t="shared" si="67"/>
        <v>0</v>
      </c>
      <c r="V84" s="39"/>
      <c r="W84" s="39"/>
      <c r="X84" s="39"/>
      <c r="Y84" s="39"/>
      <c r="Z84" s="39"/>
      <c r="AA84" s="39"/>
      <c r="AB84" s="39"/>
    </row>
    <row r="85" spans="1:28" ht="12.75">
      <c r="A85" s="143"/>
      <c r="B85" s="143"/>
      <c r="C85" s="150" t="s">
        <v>75</v>
      </c>
      <c r="D85" s="149"/>
      <c r="E85" s="141"/>
      <c r="F85" s="31">
        <f>F84/10</f>
        <v>240000</v>
      </c>
      <c r="G85" s="31"/>
      <c r="H85" s="31">
        <f t="shared" ref="H85:U85" si="68">H84/10</f>
        <v>280000</v>
      </c>
      <c r="I85" s="31">
        <f t="shared" si="68"/>
        <v>140000</v>
      </c>
      <c r="J85" s="31">
        <f t="shared" si="68"/>
        <v>20000</v>
      </c>
      <c r="K85" s="31">
        <f t="shared" si="68"/>
        <v>20000</v>
      </c>
      <c r="L85" s="31">
        <f t="shared" si="68"/>
        <v>20000</v>
      </c>
      <c r="M85" s="31">
        <f t="shared" si="68"/>
        <v>30000</v>
      </c>
      <c r="N85" s="31">
        <f t="shared" si="68"/>
        <v>50000</v>
      </c>
      <c r="O85" s="16">
        <f t="shared" si="68"/>
        <v>0</v>
      </c>
      <c r="P85" s="16">
        <f t="shared" si="68"/>
        <v>0</v>
      </c>
      <c r="Q85" s="16">
        <f t="shared" si="68"/>
        <v>0</v>
      </c>
      <c r="R85" s="16">
        <f t="shared" si="68"/>
        <v>0</v>
      </c>
      <c r="S85" s="16">
        <f t="shared" si="68"/>
        <v>0</v>
      </c>
      <c r="T85" s="16">
        <f t="shared" si="68"/>
        <v>0</v>
      </c>
      <c r="U85" s="16">
        <f t="shared" si="68"/>
        <v>0</v>
      </c>
      <c r="V85" s="39"/>
      <c r="W85" s="39"/>
      <c r="X85" s="39"/>
      <c r="Y85" s="39"/>
      <c r="Z85" s="39"/>
      <c r="AA85" s="39"/>
      <c r="AB85" s="39"/>
    </row>
    <row r="86" spans="1:28" ht="12.75">
      <c r="A86" s="144"/>
      <c r="B86" s="144"/>
      <c r="C86" s="150" t="s">
        <v>76</v>
      </c>
      <c r="D86" s="149"/>
      <c r="E86" s="141"/>
      <c r="F86" s="31">
        <f>SUM(F84:F85)</f>
        <v>2640000</v>
      </c>
      <c r="G86" s="31"/>
      <c r="H86" s="31">
        <f t="shared" ref="H86:U86" si="69">SUM(H84:H85)</f>
        <v>3080000</v>
      </c>
      <c r="I86" s="31">
        <f t="shared" si="69"/>
        <v>1540000</v>
      </c>
      <c r="J86" s="31">
        <f t="shared" si="69"/>
        <v>220000</v>
      </c>
      <c r="K86" s="31">
        <f t="shared" si="69"/>
        <v>220000</v>
      </c>
      <c r="L86" s="31">
        <f t="shared" si="69"/>
        <v>220000</v>
      </c>
      <c r="M86" s="31">
        <f t="shared" si="69"/>
        <v>330000</v>
      </c>
      <c r="N86" s="31">
        <f t="shared" si="69"/>
        <v>550000</v>
      </c>
      <c r="O86" s="16">
        <f t="shared" si="69"/>
        <v>0</v>
      </c>
      <c r="P86" s="16">
        <f t="shared" si="69"/>
        <v>0</v>
      </c>
      <c r="Q86" s="16">
        <f t="shared" si="69"/>
        <v>0</v>
      </c>
      <c r="R86" s="16">
        <f t="shared" si="69"/>
        <v>0</v>
      </c>
      <c r="S86" s="16">
        <f t="shared" si="69"/>
        <v>0</v>
      </c>
      <c r="T86" s="16">
        <f t="shared" si="69"/>
        <v>0</v>
      </c>
      <c r="U86" s="16">
        <f t="shared" si="69"/>
        <v>0</v>
      </c>
      <c r="V86" s="39"/>
      <c r="W86" s="39"/>
      <c r="X86" s="39"/>
      <c r="Y86" s="39"/>
      <c r="Z86" s="39"/>
      <c r="AA86" s="39"/>
      <c r="AB86" s="39"/>
    </row>
    <row r="87" spans="1:28" ht="12.75">
      <c r="A87" s="145">
        <v>24</v>
      </c>
      <c r="B87" s="142" t="s">
        <v>24</v>
      </c>
      <c r="C87" s="62" t="s">
        <v>90</v>
      </c>
      <c r="D87" s="63">
        <v>90000</v>
      </c>
      <c r="E87" s="63">
        <v>1000</v>
      </c>
      <c r="F87" s="63">
        <f t="shared" ref="F87:F93" si="70">D87*E87</f>
        <v>90000000</v>
      </c>
      <c r="G87" s="50">
        <f t="shared" ref="G87:G94" si="71">H87/F87*100</f>
        <v>63.800000000000004</v>
      </c>
      <c r="H87" s="44">
        <f t="shared" ref="H87:H93" si="72">SUM(I87:U87)*D87</f>
        <v>57420000</v>
      </c>
      <c r="I87" s="3">
        <v>321</v>
      </c>
      <c r="J87" s="3">
        <v>59</v>
      </c>
      <c r="K87" s="3">
        <v>49</v>
      </c>
      <c r="L87" s="3">
        <v>70</v>
      </c>
      <c r="M87" s="3">
        <v>76</v>
      </c>
      <c r="N87" s="3">
        <v>63</v>
      </c>
      <c r="O87" s="3"/>
      <c r="P87" s="3"/>
      <c r="Q87" s="3"/>
      <c r="R87" s="16"/>
      <c r="S87" s="16"/>
      <c r="T87" s="16"/>
      <c r="U87" s="16"/>
    </row>
    <row r="88" spans="1:28" ht="12.75">
      <c r="A88" s="143"/>
      <c r="B88" s="143"/>
      <c r="C88" s="64" t="s">
        <v>99</v>
      </c>
      <c r="D88" s="65">
        <v>800000</v>
      </c>
      <c r="E88" s="66">
        <v>17</v>
      </c>
      <c r="F88" s="63">
        <f t="shared" si="70"/>
        <v>13600000</v>
      </c>
      <c r="G88" s="50">
        <f t="shared" si="71"/>
        <v>100</v>
      </c>
      <c r="H88" s="44">
        <f t="shared" si="72"/>
        <v>13600000</v>
      </c>
      <c r="I88" s="3">
        <v>17</v>
      </c>
      <c r="J88" s="3"/>
      <c r="K88" s="3"/>
      <c r="L88" s="3"/>
      <c r="M88" s="3"/>
      <c r="N88" s="3"/>
      <c r="O88" s="3"/>
      <c r="P88" s="3"/>
      <c r="Q88" s="3"/>
      <c r="R88" s="16"/>
      <c r="S88" s="16"/>
      <c r="T88" s="16"/>
      <c r="U88" s="16"/>
    </row>
    <row r="89" spans="1:28" ht="12.75">
      <c r="A89" s="143"/>
      <c r="B89" s="143"/>
      <c r="C89" s="64" t="s">
        <v>100</v>
      </c>
      <c r="D89" s="65">
        <v>1960000</v>
      </c>
      <c r="E89" s="66">
        <v>1</v>
      </c>
      <c r="F89" s="63">
        <f t="shared" si="70"/>
        <v>1960000</v>
      </c>
      <c r="G89" s="50">
        <f t="shared" si="71"/>
        <v>100</v>
      </c>
      <c r="H89" s="44">
        <f t="shared" si="72"/>
        <v>1960000</v>
      </c>
      <c r="I89" s="3"/>
      <c r="J89" s="3"/>
      <c r="K89" s="3"/>
      <c r="L89" s="3"/>
      <c r="M89" s="15">
        <v>1</v>
      </c>
      <c r="N89" s="67"/>
      <c r="O89" s="67"/>
      <c r="P89" s="67"/>
      <c r="Q89" s="67"/>
      <c r="R89" s="16"/>
      <c r="S89" s="16"/>
      <c r="T89" s="16"/>
      <c r="U89" s="16"/>
    </row>
    <row r="90" spans="1:28" ht="12.75">
      <c r="A90" s="143"/>
      <c r="B90" s="143"/>
      <c r="C90" s="64" t="s">
        <v>101</v>
      </c>
      <c r="D90" s="65">
        <v>90000</v>
      </c>
      <c r="E90" s="66">
        <v>100</v>
      </c>
      <c r="F90" s="63">
        <f t="shared" si="70"/>
        <v>9000000</v>
      </c>
      <c r="G90" s="50">
        <f t="shared" si="71"/>
        <v>0</v>
      </c>
      <c r="H90" s="44">
        <f t="shared" si="72"/>
        <v>0</v>
      </c>
      <c r="I90" s="3"/>
      <c r="J90" s="3"/>
      <c r="K90" s="3"/>
      <c r="L90" s="3"/>
      <c r="M90" s="67"/>
      <c r="N90" s="67"/>
      <c r="O90" s="67"/>
      <c r="P90" s="67"/>
      <c r="Q90" s="67"/>
      <c r="R90" s="16"/>
      <c r="S90" s="16"/>
      <c r="T90" s="16"/>
      <c r="U90" s="16"/>
    </row>
    <row r="91" spans="1:28" ht="12.75">
      <c r="A91" s="143"/>
      <c r="B91" s="143"/>
      <c r="C91" s="64" t="s">
        <v>102</v>
      </c>
      <c r="D91" s="65">
        <v>1300000</v>
      </c>
      <c r="E91" s="66">
        <v>12</v>
      </c>
      <c r="F91" s="63">
        <f t="shared" si="70"/>
        <v>15600000</v>
      </c>
      <c r="G91" s="50">
        <f t="shared" si="71"/>
        <v>100</v>
      </c>
      <c r="H91" s="44">
        <f t="shared" si="72"/>
        <v>15600000</v>
      </c>
      <c r="I91" s="3">
        <v>4</v>
      </c>
      <c r="J91" s="3">
        <v>1</v>
      </c>
      <c r="K91" s="3">
        <v>1</v>
      </c>
      <c r="L91" s="3">
        <v>1</v>
      </c>
      <c r="M91" s="15">
        <v>1</v>
      </c>
      <c r="N91" s="15">
        <v>1</v>
      </c>
      <c r="O91" s="67">
        <v>1</v>
      </c>
      <c r="P91" s="67">
        <v>1</v>
      </c>
      <c r="Q91" s="67">
        <v>1</v>
      </c>
      <c r="R91" s="16"/>
      <c r="S91" s="16"/>
      <c r="T91" s="16"/>
      <c r="U91" s="16"/>
    </row>
    <row r="92" spans="1:28" ht="12.75">
      <c r="A92" s="143"/>
      <c r="B92" s="143"/>
      <c r="C92" s="64" t="s">
        <v>103</v>
      </c>
      <c r="D92" s="65">
        <v>900000</v>
      </c>
      <c r="E92" s="66">
        <v>8</v>
      </c>
      <c r="F92" s="63">
        <f t="shared" si="70"/>
        <v>7200000</v>
      </c>
      <c r="G92" s="50">
        <f t="shared" si="71"/>
        <v>112.5</v>
      </c>
      <c r="H92" s="44">
        <f t="shared" si="72"/>
        <v>8100000</v>
      </c>
      <c r="I92" s="3">
        <v>8</v>
      </c>
      <c r="J92" s="3"/>
      <c r="K92" s="3"/>
      <c r="L92" s="3">
        <v>1</v>
      </c>
      <c r="M92" s="15"/>
      <c r="N92" s="15"/>
      <c r="O92" s="67"/>
      <c r="P92" s="67"/>
      <c r="Q92" s="67"/>
      <c r="R92" s="16"/>
      <c r="S92" s="16"/>
      <c r="T92" s="16"/>
      <c r="U92" s="16"/>
    </row>
    <row r="93" spans="1:28" ht="12.75">
      <c r="A93" s="143"/>
      <c r="B93" s="143"/>
      <c r="C93" s="64" t="s">
        <v>104</v>
      </c>
      <c r="D93" s="65">
        <v>320000</v>
      </c>
      <c r="E93" s="66">
        <v>12</v>
      </c>
      <c r="F93" s="63">
        <f t="shared" si="70"/>
        <v>3840000</v>
      </c>
      <c r="G93" s="50">
        <f t="shared" si="71"/>
        <v>100</v>
      </c>
      <c r="H93" s="44">
        <f t="shared" si="72"/>
        <v>3840000</v>
      </c>
      <c r="I93" s="3">
        <v>4</v>
      </c>
      <c r="J93" s="3">
        <v>1</v>
      </c>
      <c r="K93" s="3">
        <v>1</v>
      </c>
      <c r="L93" s="3">
        <v>1</v>
      </c>
      <c r="M93" s="15">
        <v>1</v>
      </c>
      <c r="N93" s="15">
        <v>1</v>
      </c>
      <c r="O93" s="67">
        <v>1</v>
      </c>
      <c r="P93" s="67">
        <v>1</v>
      </c>
      <c r="Q93" s="67">
        <v>1</v>
      </c>
      <c r="R93" s="16"/>
      <c r="S93" s="16"/>
      <c r="T93" s="16"/>
      <c r="U93" s="16"/>
    </row>
    <row r="94" spans="1:28" ht="12.75">
      <c r="A94" s="143"/>
      <c r="B94" s="143"/>
      <c r="C94" s="150" t="s">
        <v>74</v>
      </c>
      <c r="D94" s="149"/>
      <c r="E94" s="141"/>
      <c r="F94" s="68">
        <f>SUM(F87:F93)</f>
        <v>141200000</v>
      </c>
      <c r="G94" s="38">
        <f t="shared" si="71"/>
        <v>71.508498583569406</v>
      </c>
      <c r="H94" s="31">
        <f>SUM(I94:U94)</f>
        <v>100970000</v>
      </c>
      <c r="I94" s="41">
        <f t="shared" ref="I94:K94" si="73">$D$87*I87+$D$88*I88+$D$89*I89+$D$90*I90+$D$91*I91+$D$92*I92+$D$93*I93</f>
        <v>56170000</v>
      </c>
      <c r="J94" s="41">
        <f t="shared" si="73"/>
        <v>6930000</v>
      </c>
      <c r="K94" s="41">
        <f t="shared" si="73"/>
        <v>6030000</v>
      </c>
      <c r="L94" s="41">
        <f>$D$87*L87+$D$88*L88+$D$89*L89+$D$90*L90+$D$91*L91+$D$92*L92+$D$93*L93+450000</f>
        <v>9270000</v>
      </c>
      <c r="M94" s="41">
        <f t="shared" ref="M94:U94" si="74">$D$87*M87+$D$88*M88+$D$89*M89+$D$90*M90+$D$91*M91+$D$92*M92+$D$93*M93</f>
        <v>10420000</v>
      </c>
      <c r="N94" s="41">
        <f t="shared" si="74"/>
        <v>7290000</v>
      </c>
      <c r="O94" s="41">
        <f t="shared" si="74"/>
        <v>1620000</v>
      </c>
      <c r="P94" s="41">
        <f t="shared" si="74"/>
        <v>1620000</v>
      </c>
      <c r="Q94" s="41">
        <f t="shared" si="74"/>
        <v>1620000</v>
      </c>
      <c r="R94" s="69">
        <f t="shared" si="74"/>
        <v>0</v>
      </c>
      <c r="S94" s="69">
        <f t="shared" si="74"/>
        <v>0</v>
      </c>
      <c r="T94" s="69">
        <f t="shared" si="74"/>
        <v>0</v>
      </c>
      <c r="U94" s="69">
        <f t="shared" si="74"/>
        <v>0</v>
      </c>
    </row>
    <row r="95" spans="1:28" ht="12.75">
      <c r="A95" s="143"/>
      <c r="B95" s="143"/>
      <c r="C95" s="150" t="s">
        <v>75</v>
      </c>
      <c r="D95" s="149"/>
      <c r="E95" s="141"/>
      <c r="F95" s="31">
        <f>F94/10</f>
        <v>14120000</v>
      </c>
      <c r="G95" s="38"/>
      <c r="H95" s="31">
        <f t="shared" ref="H95:U95" si="75">H94/10</f>
        <v>10097000</v>
      </c>
      <c r="I95" s="31">
        <f t="shared" si="75"/>
        <v>5617000</v>
      </c>
      <c r="J95" s="31">
        <f t="shared" si="75"/>
        <v>693000</v>
      </c>
      <c r="K95" s="31">
        <f t="shared" si="75"/>
        <v>603000</v>
      </c>
      <c r="L95" s="31">
        <f t="shared" si="75"/>
        <v>927000</v>
      </c>
      <c r="M95" s="31">
        <f t="shared" si="75"/>
        <v>1042000</v>
      </c>
      <c r="N95" s="31">
        <f t="shared" si="75"/>
        <v>729000</v>
      </c>
      <c r="O95" s="31">
        <f t="shared" si="75"/>
        <v>162000</v>
      </c>
      <c r="P95" s="31">
        <f t="shared" si="75"/>
        <v>162000</v>
      </c>
      <c r="Q95" s="31">
        <f t="shared" si="75"/>
        <v>162000</v>
      </c>
      <c r="R95" s="70">
        <f t="shared" si="75"/>
        <v>0</v>
      </c>
      <c r="S95" s="70">
        <f t="shared" si="75"/>
        <v>0</v>
      </c>
      <c r="T95" s="70">
        <f t="shared" si="75"/>
        <v>0</v>
      </c>
      <c r="U95" s="70">
        <f t="shared" si="75"/>
        <v>0</v>
      </c>
    </row>
    <row r="96" spans="1:28" ht="12.75">
      <c r="A96" s="144"/>
      <c r="B96" s="144"/>
      <c r="C96" s="150" t="s">
        <v>76</v>
      </c>
      <c r="D96" s="149"/>
      <c r="E96" s="141"/>
      <c r="F96" s="31">
        <f>SUM(F94:F95)</f>
        <v>155320000</v>
      </c>
      <c r="G96" s="38"/>
      <c r="H96" s="31">
        <f t="shared" ref="H96:U96" si="76">SUM(H94:H95)</f>
        <v>111067000</v>
      </c>
      <c r="I96" s="31">
        <f t="shared" si="76"/>
        <v>61787000</v>
      </c>
      <c r="J96" s="31">
        <f t="shared" si="76"/>
        <v>7623000</v>
      </c>
      <c r="K96" s="31">
        <f t="shared" si="76"/>
        <v>6633000</v>
      </c>
      <c r="L96" s="31">
        <f t="shared" si="76"/>
        <v>10197000</v>
      </c>
      <c r="M96" s="31">
        <f t="shared" si="76"/>
        <v>11462000</v>
      </c>
      <c r="N96" s="31">
        <f t="shared" si="76"/>
        <v>8019000</v>
      </c>
      <c r="O96" s="31">
        <f t="shared" si="76"/>
        <v>1782000</v>
      </c>
      <c r="P96" s="31">
        <f t="shared" si="76"/>
        <v>1782000</v>
      </c>
      <c r="Q96" s="31">
        <f t="shared" si="76"/>
        <v>1782000</v>
      </c>
      <c r="R96" s="70">
        <f t="shared" si="76"/>
        <v>0</v>
      </c>
      <c r="S96" s="70">
        <f t="shared" si="76"/>
        <v>0</v>
      </c>
      <c r="T96" s="70">
        <f t="shared" si="76"/>
        <v>0</v>
      </c>
      <c r="U96" s="70">
        <f t="shared" si="76"/>
        <v>0</v>
      </c>
    </row>
    <row r="97" spans="1:21" ht="12.75">
      <c r="A97" s="146">
        <v>25</v>
      </c>
      <c r="B97" s="147" t="s">
        <v>25</v>
      </c>
      <c r="C97" s="62" t="s">
        <v>68</v>
      </c>
      <c r="D97" s="71">
        <v>90000</v>
      </c>
      <c r="E97" s="72">
        <v>24</v>
      </c>
      <c r="F97" s="63">
        <f t="shared" ref="F97:F100" si="77">D97*E97</f>
        <v>2160000</v>
      </c>
      <c r="G97" s="50">
        <f t="shared" ref="G97:G101" si="78">H97/F97*100</f>
        <v>25</v>
      </c>
      <c r="H97" s="44">
        <f t="shared" ref="H97:H100" si="79">SUM(I97:U97)*D97</f>
        <v>540000</v>
      </c>
      <c r="I97" s="3"/>
      <c r="J97" s="3">
        <v>1</v>
      </c>
      <c r="K97" s="3"/>
      <c r="L97" s="3">
        <v>4</v>
      </c>
      <c r="M97" s="3">
        <v>1</v>
      </c>
      <c r="N97" s="3"/>
      <c r="O97" s="3"/>
      <c r="P97" s="3"/>
      <c r="Q97" s="3"/>
      <c r="R97" s="3"/>
      <c r="S97" s="3"/>
      <c r="T97" s="3"/>
      <c r="U97" s="3"/>
    </row>
    <row r="98" spans="1:21" ht="12.75">
      <c r="A98" s="143"/>
      <c r="B98" s="143"/>
      <c r="C98" s="64" t="s">
        <v>82</v>
      </c>
      <c r="D98" s="65">
        <v>1100000</v>
      </c>
      <c r="E98" s="66">
        <v>13</v>
      </c>
      <c r="F98" s="63">
        <f t="shared" si="77"/>
        <v>14300000</v>
      </c>
      <c r="G98" s="50">
        <f t="shared" si="78"/>
        <v>100</v>
      </c>
      <c r="H98" s="44">
        <f t="shared" si="79"/>
        <v>14300000</v>
      </c>
      <c r="I98" s="3"/>
      <c r="J98" s="3"/>
      <c r="K98" s="3"/>
      <c r="L98" s="3"/>
      <c r="M98" s="3"/>
      <c r="N98" s="3"/>
      <c r="O98" s="3"/>
      <c r="P98" s="67"/>
      <c r="Q98" s="67">
        <v>13</v>
      </c>
      <c r="R98" s="3"/>
      <c r="S98" s="3"/>
      <c r="T98" s="3"/>
      <c r="U98" s="3"/>
    </row>
    <row r="99" spans="1:21" ht="12.75">
      <c r="A99" s="143"/>
      <c r="B99" s="143"/>
      <c r="C99" s="64" t="s">
        <v>105</v>
      </c>
      <c r="D99" s="65">
        <v>340000</v>
      </c>
      <c r="E99" s="66">
        <v>1</v>
      </c>
      <c r="F99" s="63">
        <f t="shared" si="77"/>
        <v>340000</v>
      </c>
      <c r="G99" s="50">
        <f t="shared" si="78"/>
        <v>100</v>
      </c>
      <c r="H99" s="44">
        <f t="shared" si="79"/>
        <v>340000</v>
      </c>
      <c r="I99" s="3">
        <v>1</v>
      </c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</row>
    <row r="100" spans="1:21" ht="12.75">
      <c r="A100" s="143"/>
      <c r="B100" s="143"/>
      <c r="C100" s="64" t="s">
        <v>79</v>
      </c>
      <c r="D100" s="65">
        <v>100000</v>
      </c>
      <c r="E100" s="66">
        <v>12</v>
      </c>
      <c r="F100" s="63">
        <f t="shared" si="77"/>
        <v>1200000</v>
      </c>
      <c r="G100" s="50">
        <f t="shared" si="78"/>
        <v>66.666666666666657</v>
      </c>
      <c r="H100" s="44">
        <f t="shared" si="79"/>
        <v>800000</v>
      </c>
      <c r="I100" s="3">
        <v>2</v>
      </c>
      <c r="J100" s="3">
        <v>1</v>
      </c>
      <c r="K100" s="3">
        <v>1</v>
      </c>
      <c r="L100" s="3">
        <v>1</v>
      </c>
      <c r="M100" s="3">
        <v>1</v>
      </c>
      <c r="N100" s="3">
        <v>1</v>
      </c>
      <c r="O100" s="3">
        <v>1</v>
      </c>
      <c r="P100" s="67"/>
      <c r="Q100" s="67"/>
      <c r="R100" s="3"/>
      <c r="S100" s="3"/>
      <c r="T100" s="3"/>
      <c r="U100" s="3"/>
    </row>
    <row r="101" spans="1:21" ht="12.75">
      <c r="A101" s="143"/>
      <c r="B101" s="143"/>
      <c r="C101" s="150" t="s">
        <v>74</v>
      </c>
      <c r="D101" s="149"/>
      <c r="E101" s="141"/>
      <c r="F101" s="73">
        <f>SUM(F97:F100)</f>
        <v>18000000</v>
      </c>
      <c r="G101" s="38">
        <f t="shared" si="78"/>
        <v>88.777777777777771</v>
      </c>
      <c r="H101" s="73">
        <f>SUM(H97:H100)</f>
        <v>15980000</v>
      </c>
      <c r="I101" s="41">
        <f t="shared" ref="I101:U101" si="80">$D$97*I97+$D$98*I98+$D$99*I99+$D$100*I100</f>
        <v>540000</v>
      </c>
      <c r="J101" s="41">
        <f t="shared" si="80"/>
        <v>190000</v>
      </c>
      <c r="K101" s="41">
        <f t="shared" si="80"/>
        <v>100000</v>
      </c>
      <c r="L101" s="41">
        <f t="shared" si="80"/>
        <v>460000</v>
      </c>
      <c r="M101" s="41">
        <f t="shared" si="80"/>
        <v>190000</v>
      </c>
      <c r="N101" s="41">
        <f t="shared" si="80"/>
        <v>100000</v>
      </c>
      <c r="O101" s="41">
        <f t="shared" si="80"/>
        <v>100000</v>
      </c>
      <c r="P101" s="41">
        <f t="shared" si="80"/>
        <v>0</v>
      </c>
      <c r="Q101" s="41">
        <f t="shared" si="80"/>
        <v>14300000</v>
      </c>
      <c r="R101" s="41">
        <f t="shared" si="80"/>
        <v>0</v>
      </c>
      <c r="S101" s="41">
        <f t="shared" si="80"/>
        <v>0</v>
      </c>
      <c r="T101" s="41">
        <f t="shared" si="80"/>
        <v>0</v>
      </c>
      <c r="U101" s="41">
        <f t="shared" si="80"/>
        <v>0</v>
      </c>
    </row>
    <row r="102" spans="1:21" ht="12.75">
      <c r="A102" s="143"/>
      <c r="B102" s="143"/>
      <c r="C102" s="150" t="s">
        <v>75</v>
      </c>
      <c r="D102" s="149"/>
      <c r="E102" s="141"/>
      <c r="F102" s="31">
        <f>F101/10</f>
        <v>1800000</v>
      </c>
      <c r="G102" s="31"/>
      <c r="H102" s="31">
        <f t="shared" ref="H102:U102" si="81">H101/10</f>
        <v>1598000</v>
      </c>
      <c r="I102" s="31">
        <f t="shared" si="81"/>
        <v>54000</v>
      </c>
      <c r="J102" s="31">
        <f t="shared" si="81"/>
        <v>19000</v>
      </c>
      <c r="K102" s="31">
        <f t="shared" si="81"/>
        <v>10000</v>
      </c>
      <c r="L102" s="31">
        <f t="shared" si="81"/>
        <v>46000</v>
      </c>
      <c r="M102" s="31">
        <f t="shared" si="81"/>
        <v>19000</v>
      </c>
      <c r="N102" s="31">
        <f t="shared" si="81"/>
        <v>10000</v>
      </c>
      <c r="O102" s="31">
        <f t="shared" si="81"/>
        <v>10000</v>
      </c>
      <c r="P102" s="31">
        <f t="shared" si="81"/>
        <v>0</v>
      </c>
      <c r="Q102" s="31">
        <f t="shared" si="81"/>
        <v>1430000</v>
      </c>
      <c r="R102" s="31">
        <f t="shared" si="81"/>
        <v>0</v>
      </c>
      <c r="S102" s="31">
        <f t="shared" si="81"/>
        <v>0</v>
      </c>
      <c r="T102" s="31">
        <f t="shared" si="81"/>
        <v>0</v>
      </c>
      <c r="U102" s="31">
        <f t="shared" si="81"/>
        <v>0</v>
      </c>
    </row>
    <row r="103" spans="1:21" ht="12.75">
      <c r="A103" s="144"/>
      <c r="B103" s="144"/>
      <c r="C103" s="150" t="s">
        <v>76</v>
      </c>
      <c r="D103" s="149"/>
      <c r="E103" s="141"/>
      <c r="F103" s="31">
        <f>SUM(F101:F102)</f>
        <v>19800000</v>
      </c>
      <c r="G103" s="31"/>
      <c r="H103" s="31">
        <f t="shared" ref="H103:U103" si="82">SUM(H101:H102)</f>
        <v>17578000</v>
      </c>
      <c r="I103" s="31">
        <f t="shared" si="82"/>
        <v>594000</v>
      </c>
      <c r="J103" s="31">
        <f t="shared" si="82"/>
        <v>209000</v>
      </c>
      <c r="K103" s="31">
        <f t="shared" si="82"/>
        <v>110000</v>
      </c>
      <c r="L103" s="31">
        <f t="shared" si="82"/>
        <v>506000</v>
      </c>
      <c r="M103" s="31">
        <f t="shared" si="82"/>
        <v>209000</v>
      </c>
      <c r="N103" s="31">
        <f t="shared" si="82"/>
        <v>110000</v>
      </c>
      <c r="O103" s="31">
        <f t="shared" si="82"/>
        <v>110000</v>
      </c>
      <c r="P103" s="31">
        <f t="shared" si="82"/>
        <v>0</v>
      </c>
      <c r="Q103" s="31">
        <f t="shared" si="82"/>
        <v>15730000</v>
      </c>
      <c r="R103" s="31">
        <f t="shared" si="82"/>
        <v>0</v>
      </c>
      <c r="S103" s="31">
        <f t="shared" si="82"/>
        <v>0</v>
      </c>
      <c r="T103" s="31">
        <f t="shared" si="82"/>
        <v>0</v>
      </c>
      <c r="U103" s="31">
        <f t="shared" si="82"/>
        <v>0</v>
      </c>
    </row>
    <row r="104" spans="1:21" ht="12.75">
      <c r="A104" s="146">
        <v>26</v>
      </c>
      <c r="B104" s="147" t="s">
        <v>34</v>
      </c>
      <c r="C104" s="62" t="s">
        <v>67</v>
      </c>
      <c r="D104" s="63">
        <v>3000000</v>
      </c>
      <c r="E104" s="74" t="s">
        <v>16</v>
      </c>
      <c r="F104" s="75" t="e">
        <f t="shared" ref="F104:F108" si="83">D104*E104</f>
        <v>#VALUE!</v>
      </c>
      <c r="G104" s="50" t="e">
        <f t="shared" ref="G104:G109" si="84">H104/F104*100</f>
        <v>#VALUE!</v>
      </c>
      <c r="H104" s="44">
        <f t="shared" ref="H104:H108" si="85">SUM(I104:U104)*D104</f>
        <v>0</v>
      </c>
      <c r="I104" s="16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</row>
    <row r="105" spans="1:21" ht="12.75">
      <c r="A105" s="143"/>
      <c r="B105" s="143"/>
      <c r="C105" s="64" t="s">
        <v>82</v>
      </c>
      <c r="D105" s="65">
        <v>800000</v>
      </c>
      <c r="E105" s="74" t="s">
        <v>16</v>
      </c>
      <c r="F105" s="75" t="e">
        <f t="shared" si="83"/>
        <v>#VALUE!</v>
      </c>
      <c r="G105" s="50" t="e">
        <f t="shared" si="84"/>
        <v>#VALUE!</v>
      </c>
      <c r="H105" s="44">
        <f t="shared" si="85"/>
        <v>0</v>
      </c>
      <c r="I105" s="16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</row>
    <row r="106" spans="1:21" ht="12.75">
      <c r="A106" s="143"/>
      <c r="B106" s="143"/>
      <c r="C106" s="64" t="s">
        <v>68</v>
      </c>
      <c r="D106" s="65">
        <v>100000</v>
      </c>
      <c r="E106" s="74" t="s">
        <v>16</v>
      </c>
      <c r="F106" s="75" t="e">
        <f t="shared" si="83"/>
        <v>#VALUE!</v>
      </c>
      <c r="G106" s="50" t="e">
        <f t="shared" si="84"/>
        <v>#VALUE!</v>
      </c>
      <c r="H106" s="44">
        <f t="shared" si="85"/>
        <v>5300000</v>
      </c>
      <c r="I106" s="16"/>
      <c r="J106" s="3">
        <v>7</v>
      </c>
      <c r="K106" s="3">
        <v>10</v>
      </c>
      <c r="L106" s="3">
        <v>4</v>
      </c>
      <c r="M106" s="3">
        <v>7</v>
      </c>
      <c r="N106" s="3">
        <v>6</v>
      </c>
      <c r="O106" s="3">
        <v>19</v>
      </c>
      <c r="P106" s="3"/>
      <c r="Q106" s="3"/>
      <c r="R106" s="3"/>
      <c r="S106" s="3"/>
      <c r="T106" s="3"/>
      <c r="U106" s="3"/>
    </row>
    <row r="107" spans="1:21" ht="12.75">
      <c r="A107" s="143"/>
      <c r="B107" s="143"/>
      <c r="C107" s="64" t="s">
        <v>91</v>
      </c>
      <c r="D107" s="65">
        <v>500000</v>
      </c>
      <c r="E107" s="74">
        <v>1</v>
      </c>
      <c r="F107" s="75">
        <f t="shared" si="83"/>
        <v>500000</v>
      </c>
      <c r="G107" s="50">
        <f t="shared" si="84"/>
        <v>100</v>
      </c>
      <c r="H107" s="44">
        <f t="shared" si="85"/>
        <v>500000</v>
      </c>
      <c r="I107" s="16"/>
      <c r="J107" s="3">
        <v>1</v>
      </c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</row>
    <row r="108" spans="1:21" ht="12.75">
      <c r="A108" s="143"/>
      <c r="B108" s="143"/>
      <c r="C108" s="64" t="s">
        <v>92</v>
      </c>
      <c r="D108" s="65">
        <v>200000</v>
      </c>
      <c r="E108" s="74">
        <v>12</v>
      </c>
      <c r="F108" s="75">
        <f t="shared" si="83"/>
        <v>2400000</v>
      </c>
      <c r="G108" s="50">
        <f t="shared" si="84"/>
        <v>50</v>
      </c>
      <c r="H108" s="44">
        <f t="shared" si="85"/>
        <v>1200000</v>
      </c>
      <c r="I108" s="16"/>
      <c r="J108" s="3">
        <v>1</v>
      </c>
      <c r="K108" s="3">
        <v>1</v>
      </c>
      <c r="L108" s="3">
        <v>1</v>
      </c>
      <c r="M108" s="3">
        <v>1</v>
      </c>
      <c r="N108" s="3">
        <v>1</v>
      </c>
      <c r="O108" s="3">
        <v>1</v>
      </c>
      <c r="P108" s="3"/>
      <c r="Q108" s="3"/>
      <c r="R108" s="3"/>
      <c r="S108" s="3"/>
      <c r="T108" s="3"/>
      <c r="U108" s="3"/>
    </row>
    <row r="109" spans="1:21" ht="12.75">
      <c r="A109" s="143"/>
      <c r="B109" s="143"/>
      <c r="C109" s="150" t="s">
        <v>74</v>
      </c>
      <c r="D109" s="149"/>
      <c r="E109" s="141"/>
      <c r="F109" s="76">
        <v>16300000</v>
      </c>
      <c r="G109" s="38">
        <f t="shared" si="84"/>
        <v>42.944785276073624</v>
      </c>
      <c r="H109" s="31">
        <f>SUM(H104:H108)</f>
        <v>7000000</v>
      </c>
      <c r="I109" s="41"/>
      <c r="J109" s="41">
        <f t="shared" ref="J109:U109" si="86">$D$104*J104+$D$105*J105+$D$106*J106+$D$107*J107+$D$108*J108</f>
        <v>1400000</v>
      </c>
      <c r="K109" s="41">
        <f t="shared" si="86"/>
        <v>1200000</v>
      </c>
      <c r="L109" s="41">
        <f t="shared" si="86"/>
        <v>600000</v>
      </c>
      <c r="M109" s="41">
        <f t="shared" si="86"/>
        <v>900000</v>
      </c>
      <c r="N109" s="41">
        <f t="shared" si="86"/>
        <v>800000</v>
      </c>
      <c r="O109" s="41">
        <f t="shared" si="86"/>
        <v>2100000</v>
      </c>
      <c r="P109" s="41">
        <f t="shared" si="86"/>
        <v>0</v>
      </c>
      <c r="Q109" s="41">
        <f t="shared" si="86"/>
        <v>0</v>
      </c>
      <c r="R109" s="41">
        <f t="shared" si="86"/>
        <v>0</v>
      </c>
      <c r="S109" s="41">
        <f t="shared" si="86"/>
        <v>0</v>
      </c>
      <c r="T109" s="41">
        <f t="shared" si="86"/>
        <v>0</v>
      </c>
      <c r="U109" s="41">
        <f t="shared" si="86"/>
        <v>0</v>
      </c>
    </row>
    <row r="110" spans="1:21" ht="12.75">
      <c r="A110" s="143"/>
      <c r="B110" s="143"/>
      <c r="C110" s="150" t="s">
        <v>75</v>
      </c>
      <c r="D110" s="149"/>
      <c r="E110" s="141"/>
      <c r="F110" s="31">
        <f>F109/10</f>
        <v>1630000</v>
      </c>
      <c r="G110" s="31"/>
      <c r="H110" s="31">
        <f>H109/10</f>
        <v>700000</v>
      </c>
      <c r="I110" s="31"/>
      <c r="J110" s="31">
        <f t="shared" ref="J110:U110" si="87">J109/10</f>
        <v>140000</v>
      </c>
      <c r="K110" s="31">
        <f t="shared" si="87"/>
        <v>120000</v>
      </c>
      <c r="L110" s="31">
        <f t="shared" si="87"/>
        <v>60000</v>
      </c>
      <c r="M110" s="31">
        <f t="shared" si="87"/>
        <v>90000</v>
      </c>
      <c r="N110" s="31">
        <f t="shared" si="87"/>
        <v>80000</v>
      </c>
      <c r="O110" s="31">
        <f t="shared" si="87"/>
        <v>210000</v>
      </c>
      <c r="P110" s="31">
        <f t="shared" si="87"/>
        <v>0</v>
      </c>
      <c r="Q110" s="31">
        <f t="shared" si="87"/>
        <v>0</v>
      </c>
      <c r="R110" s="31">
        <f t="shared" si="87"/>
        <v>0</v>
      </c>
      <c r="S110" s="31">
        <f t="shared" si="87"/>
        <v>0</v>
      </c>
      <c r="T110" s="31">
        <f t="shared" si="87"/>
        <v>0</v>
      </c>
      <c r="U110" s="31">
        <f t="shared" si="87"/>
        <v>0</v>
      </c>
    </row>
    <row r="111" spans="1:21" ht="12.75">
      <c r="A111" s="144"/>
      <c r="B111" s="144"/>
      <c r="C111" s="150" t="s">
        <v>76</v>
      </c>
      <c r="D111" s="149"/>
      <c r="E111" s="141"/>
      <c r="F111" s="76">
        <f>SUM(F109:F110)</f>
        <v>17930000</v>
      </c>
      <c r="G111" s="76"/>
      <c r="H111" s="76">
        <f>SUM(H109:H110)</f>
        <v>7700000</v>
      </c>
      <c r="I111" s="76"/>
      <c r="J111" s="76">
        <f t="shared" ref="J111:U111" si="88">SUM(J109:J110)</f>
        <v>1540000</v>
      </c>
      <c r="K111" s="76">
        <f t="shared" si="88"/>
        <v>1320000</v>
      </c>
      <c r="L111" s="76">
        <f t="shared" si="88"/>
        <v>660000</v>
      </c>
      <c r="M111" s="76">
        <f t="shared" si="88"/>
        <v>990000</v>
      </c>
      <c r="N111" s="76">
        <f t="shared" si="88"/>
        <v>880000</v>
      </c>
      <c r="O111" s="76">
        <f t="shared" si="88"/>
        <v>2310000</v>
      </c>
      <c r="P111" s="76">
        <f t="shared" si="88"/>
        <v>0</v>
      </c>
      <c r="Q111" s="76">
        <f t="shared" si="88"/>
        <v>0</v>
      </c>
      <c r="R111" s="76">
        <f t="shared" si="88"/>
        <v>0</v>
      </c>
      <c r="S111" s="76">
        <f t="shared" si="88"/>
        <v>0</v>
      </c>
      <c r="T111" s="76">
        <f t="shared" si="88"/>
        <v>0</v>
      </c>
      <c r="U111" s="76">
        <f t="shared" si="88"/>
        <v>0</v>
      </c>
    </row>
    <row r="112" spans="1:21" ht="12.75">
      <c r="A112" s="145">
        <v>27</v>
      </c>
      <c r="B112" s="142" t="s">
        <v>33</v>
      </c>
      <c r="C112" s="2" t="s">
        <v>68</v>
      </c>
      <c r="D112" s="5">
        <v>62000</v>
      </c>
      <c r="E112" s="12" t="s">
        <v>16</v>
      </c>
      <c r="F112" s="13">
        <v>0</v>
      </c>
      <c r="G112" s="61" t="e">
        <f t="shared" ref="G112:G116" si="89">H112/F112*100</f>
        <v>#DIV/0!</v>
      </c>
      <c r="H112" s="44">
        <f t="shared" ref="H112:H115" si="90">SUM(I112:U112)*D112</f>
        <v>15810000</v>
      </c>
      <c r="I112" s="16"/>
      <c r="J112" s="3">
        <v>40</v>
      </c>
      <c r="K112" s="3">
        <v>49</v>
      </c>
      <c r="L112" s="15">
        <v>33</v>
      </c>
      <c r="M112" s="3">
        <v>45</v>
      </c>
      <c r="N112" s="3">
        <v>46</v>
      </c>
      <c r="O112" s="3">
        <v>42</v>
      </c>
      <c r="P112" s="3"/>
      <c r="Q112" s="3"/>
      <c r="R112" s="3"/>
      <c r="S112" s="3"/>
      <c r="T112" s="3"/>
      <c r="U112" s="3"/>
    </row>
    <row r="113" spans="1:28" ht="12.75">
      <c r="A113" s="143"/>
      <c r="B113" s="143"/>
      <c r="C113" s="2" t="s">
        <v>82</v>
      </c>
      <c r="D113" s="13">
        <v>800000</v>
      </c>
      <c r="E113" s="12" t="s">
        <v>16</v>
      </c>
      <c r="F113" s="13">
        <v>0</v>
      </c>
      <c r="G113" s="61" t="e">
        <f t="shared" si="89"/>
        <v>#DIV/0!</v>
      </c>
      <c r="H113" s="44">
        <f t="shared" si="90"/>
        <v>3200000</v>
      </c>
      <c r="I113" s="16"/>
      <c r="J113" s="3"/>
      <c r="K113" s="3"/>
      <c r="L113" s="15"/>
      <c r="M113" s="3">
        <v>1</v>
      </c>
      <c r="N113" s="3"/>
      <c r="O113" s="15">
        <v>3</v>
      </c>
      <c r="P113" s="3"/>
      <c r="Q113" s="3"/>
      <c r="R113" s="3"/>
      <c r="S113" s="3"/>
      <c r="T113" s="3"/>
      <c r="U113" s="3"/>
    </row>
    <row r="114" spans="1:28" ht="12.75">
      <c r="A114" s="143"/>
      <c r="B114" s="143"/>
      <c r="C114" s="2" t="s">
        <v>67</v>
      </c>
      <c r="D114" s="13">
        <v>5000000</v>
      </c>
      <c r="E114" s="12" t="s">
        <v>16</v>
      </c>
      <c r="F114" s="13">
        <v>0</v>
      </c>
      <c r="G114" s="61" t="e">
        <f t="shared" si="89"/>
        <v>#DIV/0!</v>
      </c>
      <c r="H114" s="44">
        <f t="shared" si="90"/>
        <v>5000000</v>
      </c>
      <c r="I114" s="16"/>
      <c r="J114" s="3"/>
      <c r="K114" s="3"/>
      <c r="L114" s="15"/>
      <c r="M114" s="3"/>
      <c r="N114" s="3"/>
      <c r="O114" s="67"/>
      <c r="P114" s="67">
        <v>1</v>
      </c>
      <c r="Q114" s="3"/>
      <c r="R114" s="3"/>
      <c r="S114" s="3"/>
      <c r="T114" s="3"/>
      <c r="U114" s="3"/>
    </row>
    <row r="115" spans="1:28" ht="12.75">
      <c r="A115" s="143"/>
      <c r="B115" s="143"/>
      <c r="C115" s="2" t="s">
        <v>79</v>
      </c>
      <c r="D115" s="5">
        <v>200000</v>
      </c>
      <c r="E115" s="12">
        <v>12</v>
      </c>
      <c r="F115" s="13">
        <v>0</v>
      </c>
      <c r="G115" s="61" t="e">
        <f t="shared" si="89"/>
        <v>#DIV/0!</v>
      </c>
      <c r="H115" s="44">
        <f t="shared" si="90"/>
        <v>1200000</v>
      </c>
      <c r="I115" s="16"/>
      <c r="J115" s="3">
        <v>1</v>
      </c>
      <c r="K115" s="3">
        <v>1</v>
      </c>
      <c r="L115" s="3">
        <v>1</v>
      </c>
      <c r="M115" s="3">
        <v>1</v>
      </c>
      <c r="N115" s="3">
        <v>1</v>
      </c>
      <c r="O115" s="3">
        <v>1</v>
      </c>
      <c r="P115" s="3"/>
      <c r="Q115" s="3"/>
      <c r="R115" s="3"/>
      <c r="S115" s="3"/>
      <c r="T115" s="3"/>
      <c r="U115" s="3"/>
    </row>
    <row r="116" spans="1:28" ht="12.75">
      <c r="A116" s="143"/>
      <c r="B116" s="143"/>
      <c r="C116" s="150" t="s">
        <v>74</v>
      </c>
      <c r="D116" s="149"/>
      <c r="E116" s="141"/>
      <c r="F116" s="76">
        <f>SUM(F112:F115)</f>
        <v>0</v>
      </c>
      <c r="G116" s="38" t="e">
        <f t="shared" si="89"/>
        <v>#DIV/0!</v>
      </c>
      <c r="H116" s="76">
        <f>SUM(H112:H115)</f>
        <v>25210000</v>
      </c>
      <c r="I116" s="76"/>
      <c r="J116" s="41">
        <f t="shared" ref="J116:O116" si="91">$D112*J112+$D114*J114+$D115*J115+$D$113*J113</f>
        <v>2680000</v>
      </c>
      <c r="K116" s="41">
        <f t="shared" si="91"/>
        <v>3238000</v>
      </c>
      <c r="L116" s="41">
        <f t="shared" si="91"/>
        <v>2246000</v>
      </c>
      <c r="M116" s="41">
        <f t="shared" si="91"/>
        <v>3790000</v>
      </c>
      <c r="N116" s="41">
        <f t="shared" si="91"/>
        <v>3052000</v>
      </c>
      <c r="O116" s="41">
        <f t="shared" si="91"/>
        <v>5204000</v>
      </c>
      <c r="P116" s="41">
        <f t="shared" ref="P116:U116" si="92">$D112*P112+$D114*P114+$D115*P115</f>
        <v>5000000</v>
      </c>
      <c r="Q116" s="41">
        <f t="shared" si="92"/>
        <v>0</v>
      </c>
      <c r="R116" s="41">
        <f t="shared" si="92"/>
        <v>0</v>
      </c>
      <c r="S116" s="41">
        <f t="shared" si="92"/>
        <v>0</v>
      </c>
      <c r="T116" s="41">
        <f t="shared" si="92"/>
        <v>0</v>
      </c>
      <c r="U116" s="41">
        <f t="shared" si="92"/>
        <v>0</v>
      </c>
      <c r="V116" s="39"/>
      <c r="W116" s="39"/>
      <c r="X116" s="39"/>
      <c r="Y116" s="39"/>
      <c r="Z116" s="39"/>
      <c r="AA116" s="39"/>
      <c r="AB116" s="39"/>
    </row>
    <row r="117" spans="1:28" ht="12.75">
      <c r="A117" s="143"/>
      <c r="B117" s="143"/>
      <c r="C117" s="150" t="s">
        <v>75</v>
      </c>
      <c r="D117" s="149"/>
      <c r="E117" s="141"/>
      <c r="F117" s="31">
        <f>F116/10</f>
        <v>0</v>
      </c>
      <c r="G117" s="77"/>
      <c r="H117" s="31">
        <f>H116/10</f>
        <v>2521000</v>
      </c>
      <c r="I117" s="31"/>
      <c r="J117" s="31">
        <f t="shared" ref="J117:U117" si="93">J116/10</f>
        <v>268000</v>
      </c>
      <c r="K117" s="31">
        <f t="shared" si="93"/>
        <v>323800</v>
      </c>
      <c r="L117" s="31">
        <f t="shared" si="93"/>
        <v>224600</v>
      </c>
      <c r="M117" s="31">
        <f t="shared" si="93"/>
        <v>379000</v>
      </c>
      <c r="N117" s="31">
        <f t="shared" si="93"/>
        <v>305200</v>
      </c>
      <c r="O117" s="31">
        <f t="shared" si="93"/>
        <v>520400</v>
      </c>
      <c r="P117" s="31">
        <f t="shared" si="93"/>
        <v>500000</v>
      </c>
      <c r="Q117" s="31">
        <f t="shared" si="93"/>
        <v>0</v>
      </c>
      <c r="R117" s="31">
        <f t="shared" si="93"/>
        <v>0</v>
      </c>
      <c r="S117" s="31">
        <f t="shared" si="93"/>
        <v>0</v>
      </c>
      <c r="T117" s="31">
        <f t="shared" si="93"/>
        <v>0</v>
      </c>
      <c r="U117" s="31">
        <f t="shared" si="93"/>
        <v>0</v>
      </c>
      <c r="V117" s="39"/>
      <c r="W117" s="39"/>
      <c r="X117" s="39"/>
      <c r="Y117" s="39"/>
      <c r="Z117" s="39"/>
      <c r="AA117" s="39"/>
      <c r="AB117" s="39"/>
    </row>
    <row r="118" spans="1:28" ht="12.75">
      <c r="A118" s="144"/>
      <c r="B118" s="144"/>
      <c r="C118" s="150" t="s">
        <v>76</v>
      </c>
      <c r="D118" s="149"/>
      <c r="E118" s="141"/>
      <c r="F118" s="76">
        <f>SUM(F116:F117)</f>
        <v>0</v>
      </c>
      <c r="G118" s="76"/>
      <c r="H118" s="76">
        <f>SUM(H116:H117)</f>
        <v>27731000</v>
      </c>
      <c r="I118" s="76"/>
      <c r="J118" s="76">
        <f t="shared" ref="J118:U118" si="94">SUM(J116:J117)</f>
        <v>2948000</v>
      </c>
      <c r="K118" s="76">
        <f t="shared" si="94"/>
        <v>3561800</v>
      </c>
      <c r="L118" s="76">
        <f t="shared" si="94"/>
        <v>2470600</v>
      </c>
      <c r="M118" s="76">
        <f t="shared" si="94"/>
        <v>4169000</v>
      </c>
      <c r="N118" s="76">
        <f t="shared" si="94"/>
        <v>3357200</v>
      </c>
      <c r="O118" s="76">
        <f t="shared" si="94"/>
        <v>5724400</v>
      </c>
      <c r="P118" s="76">
        <f t="shared" si="94"/>
        <v>5500000</v>
      </c>
      <c r="Q118" s="76">
        <f t="shared" si="94"/>
        <v>0</v>
      </c>
      <c r="R118" s="76">
        <f t="shared" si="94"/>
        <v>0</v>
      </c>
      <c r="S118" s="76">
        <f t="shared" si="94"/>
        <v>0</v>
      </c>
      <c r="T118" s="76">
        <f t="shared" si="94"/>
        <v>0</v>
      </c>
      <c r="U118" s="76">
        <f t="shared" si="94"/>
        <v>0</v>
      </c>
      <c r="V118" s="39"/>
      <c r="W118" s="39"/>
      <c r="X118" s="39"/>
      <c r="Y118" s="39"/>
      <c r="Z118" s="39"/>
      <c r="AA118" s="39"/>
      <c r="AB118" s="39"/>
    </row>
    <row r="119" spans="1:28" ht="12.75">
      <c r="A119" s="145">
        <v>29</v>
      </c>
      <c r="B119" s="142" t="s">
        <v>35</v>
      </c>
      <c r="C119" s="2" t="s">
        <v>67</v>
      </c>
      <c r="D119" s="5">
        <v>3000000</v>
      </c>
      <c r="E119" s="3">
        <v>2</v>
      </c>
      <c r="F119" s="5">
        <f t="shared" ref="F119:F122" si="95">D119*E119</f>
        <v>6000000</v>
      </c>
      <c r="G119" s="61">
        <f t="shared" ref="G119:G123" si="96">H119/F119*100</f>
        <v>0</v>
      </c>
      <c r="H119" s="36">
        <f t="shared" ref="H119:H122" si="97">SUM(I119:V119)*D119</f>
        <v>0</v>
      </c>
      <c r="I119" s="16"/>
      <c r="J119" s="16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</row>
    <row r="120" spans="1:28" ht="12.75">
      <c r="A120" s="143"/>
      <c r="B120" s="143"/>
      <c r="C120" s="2" t="s">
        <v>81</v>
      </c>
      <c r="D120" s="5">
        <v>900000</v>
      </c>
      <c r="E120" s="3">
        <v>23</v>
      </c>
      <c r="F120" s="5">
        <f t="shared" si="95"/>
        <v>20700000</v>
      </c>
      <c r="G120" s="61">
        <f t="shared" si="96"/>
        <v>21.739130434782609</v>
      </c>
      <c r="H120" s="36">
        <f t="shared" si="97"/>
        <v>4500000</v>
      </c>
      <c r="I120" s="16"/>
      <c r="J120" s="16"/>
      <c r="K120" s="3">
        <v>1</v>
      </c>
      <c r="L120" s="3">
        <v>1</v>
      </c>
      <c r="M120" s="3">
        <v>1</v>
      </c>
      <c r="N120" s="3">
        <v>1</v>
      </c>
      <c r="O120" s="3">
        <v>1</v>
      </c>
      <c r="P120" s="3"/>
      <c r="Q120" s="3"/>
      <c r="R120" s="3"/>
      <c r="S120" s="3"/>
      <c r="T120" s="3"/>
      <c r="U120" s="3"/>
    </row>
    <row r="121" spans="1:28" ht="12.75">
      <c r="A121" s="143"/>
      <c r="B121" s="143"/>
      <c r="C121" s="2" t="s">
        <v>108</v>
      </c>
      <c r="D121" s="5">
        <v>88000</v>
      </c>
      <c r="E121" s="3">
        <v>575</v>
      </c>
      <c r="F121" s="5">
        <f t="shared" si="95"/>
        <v>50600000</v>
      </c>
      <c r="G121" s="61">
        <f t="shared" si="96"/>
        <v>19.130434782608695</v>
      </c>
      <c r="H121" s="36">
        <f t="shared" si="97"/>
        <v>9680000</v>
      </c>
      <c r="I121" s="16"/>
      <c r="J121" s="16"/>
      <c r="K121" s="3">
        <v>13</v>
      </c>
      <c r="L121" s="3">
        <v>18</v>
      </c>
      <c r="M121" s="3">
        <v>20</v>
      </c>
      <c r="N121" s="3">
        <v>21</v>
      </c>
      <c r="O121" s="3">
        <v>38</v>
      </c>
      <c r="P121" s="3"/>
      <c r="Q121" s="3"/>
      <c r="R121" s="3"/>
      <c r="S121" s="3"/>
      <c r="T121" s="3"/>
      <c r="U121" s="3"/>
    </row>
    <row r="122" spans="1:28" ht="12.75">
      <c r="A122" s="143"/>
      <c r="B122" s="143"/>
      <c r="C122" s="2" t="s">
        <v>79</v>
      </c>
      <c r="D122" s="5">
        <v>150000</v>
      </c>
      <c r="E122" s="3">
        <v>23</v>
      </c>
      <c r="F122" s="5">
        <f t="shared" si="95"/>
        <v>3450000</v>
      </c>
      <c r="G122" s="61">
        <f t="shared" si="96"/>
        <v>21.739130434782609</v>
      </c>
      <c r="H122" s="36">
        <f t="shared" si="97"/>
        <v>750000</v>
      </c>
      <c r="I122" s="16"/>
      <c r="J122" s="16"/>
      <c r="K122" s="3">
        <v>1</v>
      </c>
      <c r="L122" s="3">
        <v>1</v>
      </c>
      <c r="M122" s="3">
        <v>1</v>
      </c>
      <c r="N122" s="3">
        <v>1</v>
      </c>
      <c r="O122" s="3">
        <v>1</v>
      </c>
      <c r="P122" s="3"/>
      <c r="Q122" s="3"/>
      <c r="R122" s="3"/>
      <c r="S122" s="3"/>
      <c r="T122" s="3"/>
      <c r="U122" s="3"/>
    </row>
    <row r="123" spans="1:28" ht="12.75">
      <c r="A123" s="143"/>
      <c r="B123" s="143"/>
      <c r="C123" s="150" t="s">
        <v>74</v>
      </c>
      <c r="D123" s="149"/>
      <c r="E123" s="141"/>
      <c r="F123" s="31">
        <f>SUM(F119:F122)</f>
        <v>80750000</v>
      </c>
      <c r="G123" s="38">
        <f t="shared" si="96"/>
        <v>18.489164086687307</v>
      </c>
      <c r="H123" s="31">
        <f>SUM(H119:H122)</f>
        <v>14930000</v>
      </c>
      <c r="I123" s="41"/>
      <c r="J123" s="41"/>
      <c r="K123" s="41">
        <f t="shared" ref="K123:U123" si="98">$D$119*K119+$D$120*K120+$D$121*K121+$D$122*K122</f>
        <v>2194000</v>
      </c>
      <c r="L123" s="41">
        <f t="shared" si="98"/>
        <v>2634000</v>
      </c>
      <c r="M123" s="41">
        <f t="shared" si="98"/>
        <v>2810000</v>
      </c>
      <c r="N123" s="41">
        <f t="shared" si="98"/>
        <v>2898000</v>
      </c>
      <c r="O123" s="41">
        <f t="shared" si="98"/>
        <v>4394000</v>
      </c>
      <c r="P123" s="41">
        <f t="shared" si="98"/>
        <v>0</v>
      </c>
      <c r="Q123" s="41">
        <f t="shared" si="98"/>
        <v>0</v>
      </c>
      <c r="R123" s="41">
        <f t="shared" si="98"/>
        <v>0</v>
      </c>
      <c r="S123" s="41">
        <f t="shared" si="98"/>
        <v>0</v>
      </c>
      <c r="T123" s="41">
        <f t="shared" si="98"/>
        <v>0</v>
      </c>
      <c r="U123" s="41">
        <f t="shared" si="98"/>
        <v>0</v>
      </c>
    </row>
    <row r="124" spans="1:28" ht="12.75">
      <c r="A124" s="143"/>
      <c r="B124" s="143"/>
      <c r="C124" s="150" t="s">
        <v>75</v>
      </c>
      <c r="D124" s="149"/>
      <c r="E124" s="141"/>
      <c r="F124" s="31">
        <f>F123/10</f>
        <v>8075000</v>
      </c>
      <c r="G124" s="38"/>
      <c r="H124" s="31">
        <f>H123/10</f>
        <v>1493000</v>
      </c>
      <c r="I124" s="31"/>
      <c r="J124" s="31"/>
      <c r="K124" s="31">
        <f t="shared" ref="K124:U124" si="99">K123/10</f>
        <v>219400</v>
      </c>
      <c r="L124" s="31">
        <f t="shared" si="99"/>
        <v>263400</v>
      </c>
      <c r="M124" s="31">
        <f t="shared" si="99"/>
        <v>281000</v>
      </c>
      <c r="N124" s="31">
        <f t="shared" si="99"/>
        <v>289800</v>
      </c>
      <c r="O124" s="31">
        <f t="shared" si="99"/>
        <v>439400</v>
      </c>
      <c r="P124" s="31">
        <f t="shared" si="99"/>
        <v>0</v>
      </c>
      <c r="Q124" s="31">
        <f t="shared" si="99"/>
        <v>0</v>
      </c>
      <c r="R124" s="31">
        <f t="shared" si="99"/>
        <v>0</v>
      </c>
      <c r="S124" s="31">
        <f t="shared" si="99"/>
        <v>0</v>
      </c>
      <c r="T124" s="31">
        <f t="shared" si="99"/>
        <v>0</v>
      </c>
      <c r="U124" s="31">
        <f t="shared" si="99"/>
        <v>0</v>
      </c>
    </row>
    <row r="125" spans="1:28" ht="12.75">
      <c r="A125" s="144"/>
      <c r="B125" s="144"/>
      <c r="C125" s="150" t="s">
        <v>76</v>
      </c>
      <c r="D125" s="149"/>
      <c r="E125" s="141"/>
      <c r="F125" s="76">
        <f>SUM(F123:F124)</f>
        <v>88825000</v>
      </c>
      <c r="G125" s="38"/>
      <c r="H125" s="76">
        <f>SUM(H123:H124)</f>
        <v>16423000</v>
      </c>
      <c r="I125" s="76"/>
      <c r="J125" s="76"/>
      <c r="K125" s="76">
        <f t="shared" ref="K125:U125" si="100">SUM(K123:K124)</f>
        <v>2413400</v>
      </c>
      <c r="L125" s="76">
        <f t="shared" si="100"/>
        <v>2897400</v>
      </c>
      <c r="M125" s="76">
        <f t="shared" si="100"/>
        <v>3091000</v>
      </c>
      <c r="N125" s="76">
        <f t="shared" si="100"/>
        <v>3187800</v>
      </c>
      <c r="O125" s="76">
        <f t="shared" si="100"/>
        <v>4833400</v>
      </c>
      <c r="P125" s="76">
        <f t="shared" si="100"/>
        <v>0</v>
      </c>
      <c r="Q125" s="76">
        <f t="shared" si="100"/>
        <v>0</v>
      </c>
      <c r="R125" s="76">
        <f t="shared" si="100"/>
        <v>0</v>
      </c>
      <c r="S125" s="76">
        <f t="shared" si="100"/>
        <v>0</v>
      </c>
      <c r="T125" s="76">
        <f t="shared" si="100"/>
        <v>0</v>
      </c>
      <c r="U125" s="76">
        <f t="shared" si="100"/>
        <v>0</v>
      </c>
    </row>
    <row r="126" spans="1:28" ht="12.75">
      <c r="A126" s="146">
        <v>42</v>
      </c>
      <c r="B126" s="153" t="s">
        <v>183</v>
      </c>
      <c r="C126" s="42" t="s">
        <v>68</v>
      </c>
      <c r="D126" s="18">
        <f>95000/1.1</f>
        <v>86363.636363636353</v>
      </c>
      <c r="E126" s="18">
        <v>1080</v>
      </c>
      <c r="F126" s="18">
        <f t="shared" ref="F126:F133" si="101">D126*E126</f>
        <v>93272727.272727266</v>
      </c>
      <c r="G126" s="43">
        <f t="shared" ref="G126:G141" si="102">H126/F126*100</f>
        <v>54.722222222222214</v>
      </c>
      <c r="H126" s="44">
        <f t="shared" ref="H126:H133" si="103">SUM(I126:U126)*D126</f>
        <v>51040909.090909086</v>
      </c>
      <c r="I126" s="48"/>
      <c r="J126" s="47"/>
      <c r="K126" s="47"/>
      <c r="L126" s="17">
        <v>1</v>
      </c>
      <c r="M126" s="17">
        <v>73</v>
      </c>
      <c r="N126" s="17">
        <v>183</v>
      </c>
      <c r="O126" s="17">
        <v>204</v>
      </c>
      <c r="P126" s="17">
        <v>130</v>
      </c>
      <c r="Q126" s="17"/>
      <c r="R126" s="17"/>
      <c r="S126" s="17"/>
      <c r="T126" s="17"/>
      <c r="U126" s="17"/>
      <c r="V126" s="45"/>
      <c r="W126" s="45"/>
      <c r="X126" s="45"/>
      <c r="Y126" s="45"/>
      <c r="Z126" s="45"/>
      <c r="AA126" s="45"/>
      <c r="AB126" s="45"/>
    </row>
    <row r="127" spans="1:28" ht="12.75">
      <c r="A127" s="143"/>
      <c r="B127" s="143"/>
      <c r="C127" s="42" t="s">
        <v>111</v>
      </c>
      <c r="D127" s="18">
        <f>600000/1.1</f>
        <v>545454.54545454541</v>
      </c>
      <c r="E127" s="18">
        <v>5</v>
      </c>
      <c r="F127" s="18">
        <f t="shared" si="101"/>
        <v>2727272.7272727271</v>
      </c>
      <c r="G127" s="43">
        <f t="shared" si="102"/>
        <v>0</v>
      </c>
      <c r="H127" s="44">
        <f t="shared" si="103"/>
        <v>0</v>
      </c>
      <c r="I127" s="47"/>
      <c r="J127" s="48"/>
      <c r="K127" s="47"/>
      <c r="L127" s="17">
        <v>0</v>
      </c>
      <c r="M127" s="17">
        <v>0</v>
      </c>
      <c r="N127" s="17">
        <v>0</v>
      </c>
      <c r="O127" s="17">
        <v>0</v>
      </c>
      <c r="P127" s="17"/>
      <c r="Q127" s="17"/>
      <c r="R127" s="17"/>
      <c r="S127" s="17"/>
      <c r="T127" s="17"/>
      <c r="U127" s="17"/>
      <c r="V127" s="45"/>
      <c r="W127" s="45"/>
      <c r="X127" s="45"/>
      <c r="Y127" s="45"/>
      <c r="Z127" s="45"/>
      <c r="AA127" s="45"/>
      <c r="AB127" s="45"/>
    </row>
    <row r="128" spans="1:28" ht="12.75">
      <c r="A128" s="143"/>
      <c r="B128" s="143"/>
      <c r="C128" s="42" t="s">
        <v>109</v>
      </c>
      <c r="D128" s="18">
        <f>800000/1.1</f>
        <v>727272.72727272718</v>
      </c>
      <c r="E128" s="18">
        <v>11</v>
      </c>
      <c r="F128" s="18">
        <f t="shared" si="101"/>
        <v>7999999.9999999991</v>
      </c>
      <c r="G128" s="43">
        <f t="shared" si="102"/>
        <v>45.454545454545453</v>
      </c>
      <c r="H128" s="44">
        <f t="shared" si="103"/>
        <v>3636363.6363636358</v>
      </c>
      <c r="I128" s="47"/>
      <c r="J128" s="47"/>
      <c r="K128" s="47"/>
      <c r="L128" s="17">
        <v>0</v>
      </c>
      <c r="M128" s="17">
        <v>0</v>
      </c>
      <c r="N128" s="17">
        <v>1</v>
      </c>
      <c r="O128" s="17">
        <v>4</v>
      </c>
      <c r="P128" s="17"/>
      <c r="Q128" s="17"/>
      <c r="R128" s="17"/>
      <c r="S128" s="17"/>
      <c r="T128" s="17"/>
      <c r="U128" s="17"/>
      <c r="V128" s="45"/>
      <c r="W128" s="45"/>
      <c r="X128" s="45"/>
      <c r="Y128" s="45"/>
      <c r="Z128" s="45"/>
      <c r="AA128" s="45"/>
      <c r="AB128" s="45"/>
    </row>
    <row r="129" spans="1:28" ht="12.75">
      <c r="A129" s="143"/>
      <c r="B129" s="143"/>
      <c r="C129" s="42" t="s">
        <v>67</v>
      </c>
      <c r="D129" s="18">
        <f>1000000/1.1</f>
        <v>909090.90909090906</v>
      </c>
      <c r="E129" s="18">
        <v>1</v>
      </c>
      <c r="F129" s="18">
        <f t="shared" si="101"/>
        <v>909090.90909090906</v>
      </c>
      <c r="G129" s="43">
        <f t="shared" si="102"/>
        <v>100</v>
      </c>
      <c r="H129" s="44">
        <f t="shared" si="103"/>
        <v>909090.90909090906</v>
      </c>
      <c r="I129" s="47"/>
      <c r="J129" s="47"/>
      <c r="K129" s="47"/>
      <c r="L129" s="17">
        <v>1</v>
      </c>
      <c r="M129" s="17">
        <v>0</v>
      </c>
      <c r="N129" s="17">
        <v>0</v>
      </c>
      <c r="O129" s="17">
        <v>0</v>
      </c>
      <c r="P129" s="17"/>
      <c r="Q129" s="17"/>
      <c r="R129" s="17"/>
      <c r="S129" s="17"/>
      <c r="T129" s="17"/>
      <c r="U129" s="17"/>
      <c r="V129" s="45"/>
      <c r="W129" s="45"/>
      <c r="X129" s="45"/>
      <c r="Y129" s="45"/>
      <c r="Z129" s="45"/>
      <c r="AA129" s="45"/>
      <c r="AB129" s="45"/>
    </row>
    <row r="130" spans="1:28" ht="12.75">
      <c r="A130" s="143"/>
      <c r="B130" s="143"/>
      <c r="C130" s="42" t="s">
        <v>92</v>
      </c>
      <c r="D130" s="18">
        <f>100000/1.1</f>
        <v>90909.090909090897</v>
      </c>
      <c r="E130" s="18">
        <v>9</v>
      </c>
      <c r="F130" s="18">
        <f t="shared" si="101"/>
        <v>818181.81818181812</v>
      </c>
      <c r="G130" s="43">
        <f t="shared" si="102"/>
        <v>33.333333333333329</v>
      </c>
      <c r="H130" s="44">
        <f t="shared" si="103"/>
        <v>272727.27272727271</v>
      </c>
      <c r="I130" s="47"/>
      <c r="J130" s="47"/>
      <c r="K130" s="47"/>
      <c r="L130" s="17">
        <v>0</v>
      </c>
      <c r="M130" s="17">
        <v>1</v>
      </c>
      <c r="N130" s="17">
        <v>1</v>
      </c>
      <c r="O130" s="17">
        <v>1</v>
      </c>
      <c r="P130" s="17"/>
      <c r="Q130" s="17"/>
      <c r="R130" s="17"/>
      <c r="S130" s="17"/>
      <c r="T130" s="17"/>
      <c r="U130" s="17"/>
      <c r="V130" s="45"/>
      <c r="W130" s="45"/>
      <c r="X130" s="45"/>
      <c r="Y130" s="45"/>
      <c r="Z130" s="45"/>
      <c r="AA130" s="45"/>
      <c r="AB130" s="45"/>
    </row>
    <row r="131" spans="1:28" ht="12.75">
      <c r="A131" s="143"/>
      <c r="B131" s="143"/>
      <c r="C131" s="42" t="s">
        <v>113</v>
      </c>
      <c r="D131" s="18">
        <f t="shared" ref="D131:D132" si="104">1500000/1.1</f>
        <v>1363636.3636363635</v>
      </c>
      <c r="E131" s="18">
        <v>1</v>
      </c>
      <c r="F131" s="18">
        <f t="shared" si="101"/>
        <v>1363636.3636363635</v>
      </c>
      <c r="G131" s="43">
        <f t="shared" si="102"/>
        <v>100</v>
      </c>
      <c r="H131" s="44">
        <f t="shared" si="103"/>
        <v>1363636.3636363635</v>
      </c>
      <c r="I131" s="47"/>
      <c r="J131" s="47"/>
      <c r="K131" s="47"/>
      <c r="L131" s="17">
        <v>1</v>
      </c>
      <c r="M131" s="17">
        <v>0</v>
      </c>
      <c r="N131" s="17">
        <v>0</v>
      </c>
      <c r="O131" s="17">
        <v>0</v>
      </c>
      <c r="P131" s="17"/>
      <c r="Q131" s="17"/>
      <c r="R131" s="17"/>
      <c r="S131" s="17"/>
      <c r="T131" s="17"/>
      <c r="U131" s="17"/>
      <c r="V131" s="45"/>
      <c r="W131" s="45"/>
      <c r="X131" s="45"/>
      <c r="Y131" s="45"/>
      <c r="Z131" s="45"/>
      <c r="AA131" s="45"/>
      <c r="AB131" s="45"/>
    </row>
    <row r="132" spans="1:28" ht="12.75">
      <c r="A132" s="143"/>
      <c r="B132" s="143"/>
      <c r="C132" s="42" t="s">
        <v>114</v>
      </c>
      <c r="D132" s="18">
        <f t="shared" si="104"/>
        <v>1363636.3636363635</v>
      </c>
      <c r="E132" s="18">
        <v>1</v>
      </c>
      <c r="F132" s="18">
        <f t="shared" si="101"/>
        <v>1363636.3636363635</v>
      </c>
      <c r="G132" s="43">
        <f t="shared" si="102"/>
        <v>100</v>
      </c>
      <c r="H132" s="44">
        <f t="shared" si="103"/>
        <v>1363636.3636363635</v>
      </c>
      <c r="I132" s="47"/>
      <c r="J132" s="47"/>
      <c r="K132" s="47"/>
      <c r="L132" s="17">
        <v>1</v>
      </c>
      <c r="M132" s="17">
        <v>0</v>
      </c>
      <c r="N132" s="17">
        <v>0</v>
      </c>
      <c r="O132" s="17">
        <v>0</v>
      </c>
      <c r="P132" s="17"/>
      <c r="Q132" s="17"/>
      <c r="R132" s="17"/>
      <c r="S132" s="17"/>
      <c r="T132" s="17"/>
      <c r="U132" s="17"/>
      <c r="V132" s="45"/>
      <c r="W132" s="45"/>
      <c r="X132" s="45"/>
      <c r="Y132" s="45"/>
      <c r="Z132" s="45"/>
      <c r="AA132" s="45"/>
      <c r="AB132" s="45"/>
    </row>
    <row r="133" spans="1:28" ht="12.75">
      <c r="A133" s="143"/>
      <c r="B133" s="143"/>
      <c r="C133" s="87" t="s">
        <v>115</v>
      </c>
      <c r="D133" s="88">
        <f>-300000/1.1</f>
        <v>-272727.27272727271</v>
      </c>
      <c r="E133" s="88">
        <v>1</v>
      </c>
      <c r="F133" s="18">
        <f t="shared" si="101"/>
        <v>-272727.27272727271</v>
      </c>
      <c r="G133" s="43">
        <f t="shared" si="102"/>
        <v>100</v>
      </c>
      <c r="H133" s="44">
        <f t="shared" si="103"/>
        <v>-272727.27272727271</v>
      </c>
      <c r="I133" s="89"/>
      <c r="J133" s="89"/>
      <c r="K133" s="89"/>
      <c r="L133" s="90">
        <v>1</v>
      </c>
      <c r="M133" s="90">
        <v>0</v>
      </c>
      <c r="N133" s="90">
        <v>0</v>
      </c>
      <c r="O133" s="90">
        <v>0</v>
      </c>
      <c r="P133" s="90"/>
      <c r="Q133" s="90"/>
      <c r="R133" s="90"/>
      <c r="S133" s="90"/>
      <c r="T133" s="90"/>
      <c r="U133" s="90"/>
      <c r="V133" s="45"/>
      <c r="W133" s="45"/>
      <c r="X133" s="45"/>
      <c r="Y133" s="45"/>
      <c r="Z133" s="45"/>
      <c r="AA133" s="45"/>
      <c r="AB133" s="45"/>
    </row>
    <row r="134" spans="1:28" ht="12.75">
      <c r="A134" s="143"/>
      <c r="B134" s="143"/>
      <c r="C134" s="150" t="s">
        <v>74</v>
      </c>
      <c r="D134" s="149"/>
      <c r="E134" s="141"/>
      <c r="F134" s="82">
        <f>SUM(F126:F133)</f>
        <v>108181818.18181817</v>
      </c>
      <c r="G134" s="38">
        <f t="shared" si="102"/>
        <v>53.903361344537814</v>
      </c>
      <c r="H134" s="83">
        <f>SUM(H126:H133)</f>
        <v>58313636.36363636</v>
      </c>
      <c r="I134" s="69"/>
      <c r="J134" s="69"/>
      <c r="K134" s="69"/>
      <c r="L134" s="41">
        <f t="shared" ref="L134:U134" si="105">$D126*L126+$D127*L127+$D128*L128+$D129*L129+$D130*L130+$D131*L131+$D132*L132+$D133*L133</f>
        <v>3450000</v>
      </c>
      <c r="M134" s="41">
        <f t="shared" si="105"/>
        <v>6395454.5454545449</v>
      </c>
      <c r="N134" s="41">
        <f t="shared" si="105"/>
        <v>16622727.272727272</v>
      </c>
      <c r="O134" s="41">
        <f t="shared" si="105"/>
        <v>20618181.818181816</v>
      </c>
      <c r="P134" s="41">
        <f t="shared" si="105"/>
        <v>11227272.727272727</v>
      </c>
      <c r="Q134" s="41">
        <f t="shared" si="105"/>
        <v>0</v>
      </c>
      <c r="R134" s="41">
        <f t="shared" si="105"/>
        <v>0</v>
      </c>
      <c r="S134" s="41">
        <f t="shared" si="105"/>
        <v>0</v>
      </c>
      <c r="T134" s="41">
        <f t="shared" si="105"/>
        <v>0</v>
      </c>
      <c r="U134" s="41">
        <f t="shared" si="105"/>
        <v>0</v>
      </c>
      <c r="V134" s="45"/>
      <c r="W134" s="45"/>
      <c r="X134" s="45"/>
      <c r="Y134" s="45"/>
      <c r="Z134" s="45"/>
      <c r="AA134" s="45"/>
      <c r="AB134" s="45"/>
    </row>
    <row r="135" spans="1:28" ht="12.75">
      <c r="A135" s="143"/>
      <c r="B135" s="143"/>
      <c r="C135" s="150" t="s">
        <v>75</v>
      </c>
      <c r="D135" s="149"/>
      <c r="E135" s="141"/>
      <c r="F135" s="31">
        <f>F134*0.1</f>
        <v>10818181.818181818</v>
      </c>
      <c r="G135" s="38">
        <f t="shared" si="102"/>
        <v>53.903361344537814</v>
      </c>
      <c r="H135" s="31">
        <f>H134*0.1</f>
        <v>5831363.6363636367</v>
      </c>
      <c r="I135" s="91"/>
      <c r="J135" s="91"/>
      <c r="K135" s="91"/>
      <c r="L135" s="40">
        <f t="shared" ref="L135:U135" si="106">L134*0.1</f>
        <v>345000</v>
      </c>
      <c r="M135" s="40">
        <f t="shared" si="106"/>
        <v>639545.45454545459</v>
      </c>
      <c r="N135" s="40">
        <f t="shared" si="106"/>
        <v>1662272.7272727273</v>
      </c>
      <c r="O135" s="40">
        <f t="shared" si="106"/>
        <v>2061818.1818181816</v>
      </c>
      <c r="P135" s="40">
        <f t="shared" si="106"/>
        <v>1122727.2727272727</v>
      </c>
      <c r="Q135" s="40">
        <f t="shared" si="106"/>
        <v>0</v>
      </c>
      <c r="R135" s="40">
        <f t="shared" si="106"/>
        <v>0</v>
      </c>
      <c r="S135" s="40">
        <f t="shared" si="106"/>
        <v>0</v>
      </c>
      <c r="T135" s="40">
        <f t="shared" si="106"/>
        <v>0</v>
      </c>
      <c r="U135" s="40">
        <f t="shared" si="106"/>
        <v>0</v>
      </c>
      <c r="V135" s="45"/>
      <c r="W135" s="45"/>
      <c r="X135" s="45"/>
      <c r="Y135" s="45"/>
      <c r="Z135" s="45"/>
      <c r="AA135" s="45"/>
      <c r="AB135" s="45"/>
    </row>
    <row r="136" spans="1:28" ht="12.75">
      <c r="A136" s="144"/>
      <c r="B136" s="144"/>
      <c r="C136" s="150" t="s">
        <v>76</v>
      </c>
      <c r="D136" s="149"/>
      <c r="E136" s="141"/>
      <c r="F136" s="31">
        <f>F134+F135</f>
        <v>118999999.99999999</v>
      </c>
      <c r="G136" s="38">
        <f t="shared" si="102"/>
        <v>53.903361344537828</v>
      </c>
      <c r="H136" s="31">
        <f>H134+H135</f>
        <v>64145000</v>
      </c>
      <c r="I136" s="70"/>
      <c r="J136" s="70"/>
      <c r="K136" s="70"/>
      <c r="L136" s="31">
        <f t="shared" ref="L136:U136" si="107">L134+L135</f>
        <v>3795000</v>
      </c>
      <c r="M136" s="31">
        <f t="shared" si="107"/>
        <v>7035000</v>
      </c>
      <c r="N136" s="31">
        <f t="shared" si="107"/>
        <v>18285000</v>
      </c>
      <c r="O136" s="31">
        <f t="shared" si="107"/>
        <v>22680000</v>
      </c>
      <c r="P136" s="31">
        <f t="shared" si="107"/>
        <v>12350000</v>
      </c>
      <c r="Q136" s="31">
        <f t="shared" si="107"/>
        <v>0</v>
      </c>
      <c r="R136" s="31">
        <f t="shared" si="107"/>
        <v>0</v>
      </c>
      <c r="S136" s="31">
        <f t="shared" si="107"/>
        <v>0</v>
      </c>
      <c r="T136" s="31">
        <f t="shared" si="107"/>
        <v>0</v>
      </c>
      <c r="U136" s="31">
        <f t="shared" si="107"/>
        <v>0</v>
      </c>
      <c r="V136" s="45"/>
      <c r="W136" s="45"/>
      <c r="X136" s="45"/>
      <c r="Y136" s="45"/>
      <c r="Z136" s="45"/>
      <c r="AA136" s="45"/>
      <c r="AB136" s="45"/>
    </row>
    <row r="137" spans="1:28" ht="12.75">
      <c r="A137" s="145">
        <v>43</v>
      </c>
      <c r="B137" s="142" t="s">
        <v>31</v>
      </c>
      <c r="C137" s="2" t="s">
        <v>107</v>
      </c>
      <c r="D137" s="5">
        <v>80000</v>
      </c>
      <c r="E137" s="3">
        <v>150</v>
      </c>
      <c r="F137" s="18">
        <f t="shared" ref="F137:F140" si="108">D137*E137</f>
        <v>12000000</v>
      </c>
      <c r="G137" s="43">
        <f t="shared" si="102"/>
        <v>82.666666666666671</v>
      </c>
      <c r="H137" s="44">
        <f t="shared" ref="H137:H140" si="109">SUM(I137:U137)*D137</f>
        <v>9920000</v>
      </c>
      <c r="I137" s="3"/>
      <c r="J137" s="3"/>
      <c r="K137" s="3"/>
      <c r="L137" s="3">
        <v>1</v>
      </c>
      <c r="M137" s="3">
        <v>37</v>
      </c>
      <c r="N137" s="3">
        <v>56</v>
      </c>
      <c r="O137" s="3">
        <v>30</v>
      </c>
      <c r="P137" s="3"/>
      <c r="Q137" s="3"/>
      <c r="R137" s="3"/>
      <c r="S137" s="3"/>
      <c r="T137" s="3"/>
      <c r="U137" s="3"/>
    </row>
    <row r="138" spans="1:28" ht="12.75">
      <c r="A138" s="143"/>
      <c r="B138" s="143"/>
      <c r="C138" s="2" t="s">
        <v>106</v>
      </c>
      <c r="D138" s="5">
        <v>800000</v>
      </c>
      <c r="E138" s="3">
        <v>1</v>
      </c>
      <c r="F138" s="18">
        <f t="shared" si="108"/>
        <v>800000</v>
      </c>
      <c r="G138" s="43">
        <f t="shared" si="102"/>
        <v>100</v>
      </c>
      <c r="H138" s="44">
        <f t="shared" si="109"/>
        <v>800000</v>
      </c>
      <c r="I138" s="3"/>
      <c r="J138" s="3"/>
      <c r="K138" s="3"/>
      <c r="L138" s="3">
        <v>0</v>
      </c>
      <c r="M138" s="3">
        <v>1</v>
      </c>
      <c r="N138" s="3">
        <v>0</v>
      </c>
      <c r="O138" s="3">
        <v>0</v>
      </c>
      <c r="P138" s="3">
        <v>0</v>
      </c>
      <c r="Q138" s="3">
        <v>0</v>
      </c>
      <c r="R138" s="3">
        <v>0</v>
      </c>
      <c r="S138" s="3">
        <v>0</v>
      </c>
      <c r="T138" s="3">
        <v>0</v>
      </c>
      <c r="U138" s="3">
        <v>0</v>
      </c>
    </row>
    <row r="139" spans="1:28" ht="12.75">
      <c r="A139" s="143"/>
      <c r="B139" s="143"/>
      <c r="C139" s="2" t="s">
        <v>116</v>
      </c>
      <c r="D139" s="5">
        <v>760000</v>
      </c>
      <c r="E139" s="3">
        <v>5</v>
      </c>
      <c r="F139" s="18">
        <f t="shared" si="108"/>
        <v>3800000</v>
      </c>
      <c r="G139" s="43">
        <f t="shared" si="102"/>
        <v>0</v>
      </c>
      <c r="H139" s="44">
        <f t="shared" si="109"/>
        <v>0</v>
      </c>
      <c r="I139" s="3"/>
      <c r="J139" s="3"/>
      <c r="K139" s="3"/>
      <c r="L139" s="3">
        <v>0</v>
      </c>
      <c r="M139" s="3">
        <v>0</v>
      </c>
      <c r="N139" s="3">
        <v>0</v>
      </c>
      <c r="O139" s="3">
        <v>0</v>
      </c>
      <c r="P139" s="3"/>
      <c r="Q139" s="3"/>
      <c r="R139" s="3"/>
      <c r="S139" s="3"/>
      <c r="T139" s="3"/>
      <c r="U139" s="3"/>
    </row>
    <row r="140" spans="1:28" ht="12.75">
      <c r="A140" s="143"/>
      <c r="B140" s="143"/>
      <c r="C140" s="2" t="s">
        <v>117</v>
      </c>
      <c r="D140" s="5">
        <v>670000</v>
      </c>
      <c r="E140" s="3">
        <v>20</v>
      </c>
      <c r="F140" s="18">
        <f t="shared" si="108"/>
        <v>13400000</v>
      </c>
      <c r="G140" s="43">
        <f t="shared" si="102"/>
        <v>10</v>
      </c>
      <c r="H140" s="44">
        <f t="shared" si="109"/>
        <v>1340000</v>
      </c>
      <c r="I140" s="3"/>
      <c r="J140" s="3"/>
      <c r="K140" s="3"/>
      <c r="L140" s="3">
        <v>1</v>
      </c>
      <c r="M140" s="3">
        <v>0</v>
      </c>
      <c r="N140" s="3">
        <v>1</v>
      </c>
      <c r="O140" s="3">
        <v>0</v>
      </c>
      <c r="P140" s="3"/>
      <c r="Q140" s="3"/>
      <c r="R140" s="3"/>
      <c r="S140" s="3"/>
      <c r="T140" s="3"/>
      <c r="U140" s="3"/>
    </row>
    <row r="141" spans="1:28" ht="12.75">
      <c r="A141" s="144"/>
      <c r="B141" s="144"/>
      <c r="C141" s="152" t="s">
        <v>118</v>
      </c>
      <c r="D141" s="149"/>
      <c r="E141" s="141"/>
      <c r="F141" s="82">
        <f>SUM(F137:F140)</f>
        <v>30000000</v>
      </c>
      <c r="G141" s="38">
        <f t="shared" si="102"/>
        <v>40.200000000000003</v>
      </c>
      <c r="H141" s="83">
        <f>SUM(H137:H140)</f>
        <v>12060000</v>
      </c>
      <c r="I141" s="92"/>
      <c r="J141" s="92"/>
      <c r="K141" s="92"/>
      <c r="L141" s="84">
        <f t="shared" ref="L141:O141" si="110">$D137*L137+$D138*L138+$D139*L139+$D140*L140</f>
        <v>750000</v>
      </c>
      <c r="M141" s="84">
        <f t="shared" si="110"/>
        <v>3760000</v>
      </c>
      <c r="N141" s="84">
        <f t="shared" si="110"/>
        <v>5150000</v>
      </c>
      <c r="O141" s="84">
        <f t="shared" si="110"/>
        <v>2400000</v>
      </c>
      <c r="P141" s="92"/>
      <c r="Q141" s="92"/>
      <c r="R141" s="92"/>
      <c r="S141" s="92"/>
      <c r="T141" s="92"/>
      <c r="U141" s="92"/>
    </row>
    <row r="142" spans="1:28" ht="12.75">
      <c r="A142" s="145">
        <v>46</v>
      </c>
      <c r="B142" s="142" t="s">
        <v>32</v>
      </c>
      <c r="C142" s="2" t="s">
        <v>120</v>
      </c>
      <c r="D142" s="5">
        <v>1015000</v>
      </c>
      <c r="E142" s="3">
        <v>1</v>
      </c>
      <c r="F142" s="18">
        <f t="shared" ref="F142:F144" si="111">D142*E142</f>
        <v>1015000</v>
      </c>
      <c r="G142" s="80">
        <f t="shared" ref="G142:G145" si="112">H142/F142*100</f>
        <v>100</v>
      </c>
      <c r="H142" s="85">
        <f t="shared" ref="H142:H144" si="113">SUM(I142:U142)*D142</f>
        <v>1015000</v>
      </c>
      <c r="I142" s="3"/>
      <c r="J142" s="3"/>
      <c r="K142" s="3"/>
      <c r="L142" s="3"/>
      <c r="M142" s="3">
        <v>0</v>
      </c>
      <c r="N142" s="3">
        <v>1</v>
      </c>
      <c r="O142" s="3">
        <v>0</v>
      </c>
      <c r="P142" s="3">
        <v>0</v>
      </c>
      <c r="Q142" s="3">
        <v>0</v>
      </c>
      <c r="R142" s="3">
        <v>0</v>
      </c>
      <c r="S142" s="3">
        <v>0</v>
      </c>
      <c r="T142" s="3">
        <v>0</v>
      </c>
      <c r="U142" s="3">
        <v>0</v>
      </c>
    </row>
    <row r="143" spans="1:28" ht="12.75">
      <c r="A143" s="143"/>
      <c r="B143" s="143"/>
      <c r="C143" s="2" t="s">
        <v>121</v>
      </c>
      <c r="D143" s="5">
        <v>80000</v>
      </c>
      <c r="E143" s="3">
        <v>400</v>
      </c>
      <c r="F143" s="18">
        <f t="shared" si="111"/>
        <v>32000000</v>
      </c>
      <c r="G143" s="80">
        <f t="shared" si="112"/>
        <v>14.499999999999998</v>
      </c>
      <c r="H143" s="85">
        <f t="shared" si="113"/>
        <v>4640000</v>
      </c>
      <c r="I143" s="3"/>
      <c r="J143" s="3"/>
      <c r="K143" s="3"/>
      <c r="L143" s="3"/>
      <c r="M143" s="3">
        <v>11</v>
      </c>
      <c r="N143" s="3">
        <v>27</v>
      </c>
      <c r="O143" s="3">
        <v>20</v>
      </c>
      <c r="P143" s="3"/>
      <c r="Q143" s="3"/>
      <c r="R143" s="3"/>
      <c r="S143" s="3"/>
      <c r="T143" s="3"/>
      <c r="U143" s="3"/>
    </row>
    <row r="144" spans="1:28" ht="12.75">
      <c r="A144" s="143"/>
      <c r="B144" s="143"/>
      <c r="C144" s="2" t="s">
        <v>119</v>
      </c>
      <c r="D144" s="5">
        <v>165000</v>
      </c>
      <c r="E144" s="3">
        <v>9</v>
      </c>
      <c r="F144" s="18">
        <f t="shared" si="111"/>
        <v>1485000</v>
      </c>
      <c r="G144" s="80">
        <f t="shared" si="112"/>
        <v>33.333333333333329</v>
      </c>
      <c r="H144" s="85">
        <f t="shared" si="113"/>
        <v>495000</v>
      </c>
      <c r="I144" s="3"/>
      <c r="J144" s="3"/>
      <c r="K144" s="3"/>
      <c r="L144" s="3"/>
      <c r="M144" s="3">
        <v>1</v>
      </c>
      <c r="N144" s="3">
        <v>1</v>
      </c>
      <c r="O144" s="3">
        <v>1</v>
      </c>
      <c r="P144" s="3"/>
      <c r="Q144" s="3"/>
      <c r="R144" s="3"/>
      <c r="S144" s="3"/>
      <c r="T144" s="3"/>
      <c r="U144" s="3"/>
    </row>
    <row r="145" spans="1:21" ht="12.75">
      <c r="A145" s="143"/>
      <c r="B145" s="143"/>
      <c r="C145" s="152" t="s">
        <v>74</v>
      </c>
      <c r="D145" s="149"/>
      <c r="E145" s="141"/>
      <c r="F145" s="82">
        <f>SUM(F142:F144)</f>
        <v>34500000</v>
      </c>
      <c r="G145" s="32">
        <f t="shared" si="112"/>
        <v>17.826086956521738</v>
      </c>
      <c r="H145" s="83">
        <f>SUM(H142:H144)</f>
        <v>6150000</v>
      </c>
      <c r="I145" s="92"/>
      <c r="J145" s="92"/>
      <c r="K145" s="92"/>
      <c r="L145" s="92"/>
      <c r="M145" s="84" t="e">
        <f>#REF!*#REF!+$D142*M142+$D143*M143+$D144*M144</f>
        <v>#REF!</v>
      </c>
      <c r="N145" s="84" t="e">
        <f>#REF!*#REF!+$D142*N142+$D143*N143+$D144*N144</f>
        <v>#REF!</v>
      </c>
      <c r="O145" s="84" t="e">
        <f>#REF!*#REF!+$D142*O142+$D143*O143+$D144*O144</f>
        <v>#REF!</v>
      </c>
      <c r="P145" s="92"/>
      <c r="Q145" s="92"/>
      <c r="R145" s="92"/>
      <c r="S145" s="92"/>
      <c r="T145" s="92"/>
      <c r="U145" s="92"/>
    </row>
    <row r="146" spans="1:21" ht="12.75">
      <c r="A146" s="143"/>
      <c r="B146" s="143"/>
      <c r="C146" s="152" t="s">
        <v>75</v>
      </c>
      <c r="D146" s="149"/>
      <c r="E146" s="141"/>
      <c r="F146" s="31">
        <f t="shared" ref="F146:H146" si="114">F145*10%</f>
        <v>3450000</v>
      </c>
      <c r="G146" s="32">
        <f t="shared" si="114"/>
        <v>1.7826086956521738</v>
      </c>
      <c r="H146" s="83">
        <f t="shared" si="114"/>
        <v>615000</v>
      </c>
      <c r="I146" s="92"/>
      <c r="J146" s="92"/>
      <c r="K146" s="92"/>
      <c r="L146" s="92"/>
      <c r="M146" s="86" t="e">
        <f t="shared" ref="M146:O146" si="115">M145*10%</f>
        <v>#REF!</v>
      </c>
      <c r="N146" s="86" t="e">
        <f t="shared" si="115"/>
        <v>#REF!</v>
      </c>
      <c r="O146" s="86" t="e">
        <f t="shared" si="115"/>
        <v>#REF!</v>
      </c>
      <c r="P146" s="92"/>
      <c r="Q146" s="92"/>
      <c r="R146" s="92"/>
      <c r="S146" s="92"/>
      <c r="T146" s="92"/>
      <c r="U146" s="92"/>
    </row>
    <row r="147" spans="1:21" ht="12.75">
      <c r="A147" s="144"/>
      <c r="B147" s="144"/>
      <c r="C147" s="152" t="s">
        <v>76</v>
      </c>
      <c r="D147" s="149"/>
      <c r="E147" s="141"/>
      <c r="F147" s="31">
        <f>F145+F146</f>
        <v>37950000</v>
      </c>
      <c r="G147" s="32">
        <f t="shared" ref="G147:G157" si="116">H147/F147*100</f>
        <v>17.826086956521738</v>
      </c>
      <c r="H147" s="83">
        <f>SUM(H145:H146)</f>
        <v>6765000</v>
      </c>
      <c r="I147" s="92"/>
      <c r="J147" s="92"/>
      <c r="K147" s="92"/>
      <c r="L147" s="92"/>
      <c r="M147" s="86" t="e">
        <f t="shared" ref="M147:O147" si="117">SUM(M145:M146)</f>
        <v>#REF!</v>
      </c>
      <c r="N147" s="86" t="e">
        <f t="shared" si="117"/>
        <v>#REF!</v>
      </c>
      <c r="O147" s="86" t="e">
        <f t="shared" si="117"/>
        <v>#REF!</v>
      </c>
      <c r="P147" s="92"/>
      <c r="Q147" s="92"/>
      <c r="R147" s="92"/>
      <c r="S147" s="92"/>
      <c r="T147" s="92"/>
      <c r="U147" s="92"/>
    </row>
    <row r="148" spans="1:21" ht="12.75">
      <c r="A148" s="142">
        <v>47</v>
      </c>
      <c r="B148" s="142" t="s">
        <v>37</v>
      </c>
      <c r="C148" s="2" t="s">
        <v>67</v>
      </c>
      <c r="D148" s="5">
        <v>1000000</v>
      </c>
      <c r="E148" s="3">
        <v>1</v>
      </c>
      <c r="F148" s="17">
        <f t="shared" ref="F148:F156" si="118">D148*E148</f>
        <v>1000000</v>
      </c>
      <c r="G148" s="93">
        <f t="shared" si="116"/>
        <v>100</v>
      </c>
      <c r="H148" s="85">
        <f t="shared" ref="H148:H156" si="119">SUM(I148:U148)*D148</f>
        <v>1000000</v>
      </c>
      <c r="I148" s="3"/>
      <c r="J148" s="3">
        <v>1</v>
      </c>
      <c r="K148" s="3">
        <v>0</v>
      </c>
      <c r="L148" s="3">
        <v>0</v>
      </c>
      <c r="M148" s="3">
        <v>0</v>
      </c>
      <c r="N148" s="3">
        <v>0</v>
      </c>
      <c r="O148" s="3">
        <v>0</v>
      </c>
      <c r="P148" s="3">
        <v>0</v>
      </c>
      <c r="Q148" s="3">
        <v>0</v>
      </c>
      <c r="R148" s="3">
        <v>0</v>
      </c>
      <c r="S148" s="3">
        <v>0</v>
      </c>
      <c r="T148" s="3">
        <v>0</v>
      </c>
      <c r="U148" s="3">
        <v>0</v>
      </c>
    </row>
    <row r="149" spans="1:21" ht="12.75">
      <c r="A149" s="143"/>
      <c r="B149" s="143"/>
      <c r="C149" s="2" t="s">
        <v>122</v>
      </c>
      <c r="D149" s="5">
        <v>5200000</v>
      </c>
      <c r="E149" s="3">
        <v>12</v>
      </c>
      <c r="F149" s="17">
        <f t="shared" si="118"/>
        <v>62400000</v>
      </c>
      <c r="G149" s="93">
        <f t="shared" si="116"/>
        <v>50</v>
      </c>
      <c r="H149" s="85">
        <f t="shared" si="119"/>
        <v>31200000</v>
      </c>
      <c r="I149" s="3"/>
      <c r="J149" s="3">
        <v>1</v>
      </c>
      <c r="K149" s="3">
        <v>1</v>
      </c>
      <c r="L149" s="3">
        <v>1</v>
      </c>
      <c r="M149" s="3">
        <v>1</v>
      </c>
      <c r="N149" s="3">
        <v>1</v>
      </c>
      <c r="O149" s="3">
        <v>1</v>
      </c>
      <c r="P149" s="3"/>
      <c r="Q149" s="3"/>
      <c r="R149" s="3"/>
      <c r="S149" s="3"/>
      <c r="T149" s="3"/>
      <c r="U149" s="3"/>
    </row>
    <row r="150" spans="1:21" ht="12.75">
      <c r="A150" s="143"/>
      <c r="B150" s="143"/>
      <c r="C150" s="2" t="s">
        <v>123</v>
      </c>
      <c r="D150" s="5">
        <v>4700000</v>
      </c>
      <c r="E150" s="3">
        <v>12</v>
      </c>
      <c r="F150" s="17">
        <f t="shared" si="118"/>
        <v>56400000</v>
      </c>
      <c r="G150" s="93">
        <f t="shared" si="116"/>
        <v>50</v>
      </c>
      <c r="H150" s="85">
        <f t="shared" si="119"/>
        <v>28200000</v>
      </c>
      <c r="I150" s="3"/>
      <c r="J150" s="3">
        <v>1</v>
      </c>
      <c r="K150" s="3">
        <v>1</v>
      </c>
      <c r="L150" s="3">
        <v>1</v>
      </c>
      <c r="M150" s="3">
        <v>1</v>
      </c>
      <c r="N150" s="3">
        <v>1</v>
      </c>
      <c r="O150" s="3">
        <v>1</v>
      </c>
      <c r="P150" s="3"/>
      <c r="Q150" s="3"/>
      <c r="R150" s="3"/>
      <c r="S150" s="3"/>
      <c r="T150" s="3"/>
      <c r="U150" s="3"/>
    </row>
    <row r="151" spans="1:21" ht="12.75">
      <c r="A151" s="143"/>
      <c r="B151" s="143"/>
      <c r="C151" s="2" t="s">
        <v>124</v>
      </c>
      <c r="D151" s="5">
        <v>200000</v>
      </c>
      <c r="E151" s="3">
        <v>12</v>
      </c>
      <c r="F151" s="17">
        <f t="shared" si="118"/>
        <v>2400000</v>
      </c>
      <c r="G151" s="93">
        <f t="shared" si="116"/>
        <v>50</v>
      </c>
      <c r="H151" s="85">
        <f t="shared" si="119"/>
        <v>1200000</v>
      </c>
      <c r="I151" s="3"/>
      <c r="J151" s="3">
        <v>1</v>
      </c>
      <c r="K151" s="3">
        <v>1</v>
      </c>
      <c r="L151" s="3">
        <v>1</v>
      </c>
      <c r="M151" s="3">
        <v>1</v>
      </c>
      <c r="N151" s="3">
        <v>1</v>
      </c>
      <c r="O151" s="3">
        <v>1</v>
      </c>
      <c r="P151" s="3"/>
      <c r="Q151" s="3"/>
      <c r="R151" s="3"/>
      <c r="S151" s="3"/>
      <c r="T151" s="3"/>
      <c r="U151" s="3"/>
    </row>
    <row r="152" spans="1:21" ht="12.75">
      <c r="A152" s="143"/>
      <c r="B152" s="143"/>
      <c r="C152" s="2" t="s">
        <v>108</v>
      </c>
      <c r="D152" s="5">
        <v>68000</v>
      </c>
      <c r="E152" s="3">
        <v>200</v>
      </c>
      <c r="F152" s="17">
        <f t="shared" si="118"/>
        <v>13600000</v>
      </c>
      <c r="G152" s="93">
        <f t="shared" si="116"/>
        <v>57.999999999999993</v>
      </c>
      <c r="H152" s="85">
        <f t="shared" si="119"/>
        <v>7888000</v>
      </c>
      <c r="I152" s="3"/>
      <c r="J152" s="3">
        <v>0</v>
      </c>
      <c r="K152" s="3">
        <v>20</v>
      </c>
      <c r="L152" s="3">
        <v>13</v>
      </c>
      <c r="M152" s="3">
        <v>32</v>
      </c>
      <c r="N152" s="3">
        <v>31</v>
      </c>
      <c r="O152" s="3">
        <v>20</v>
      </c>
      <c r="P152" s="3"/>
      <c r="Q152" s="3"/>
      <c r="R152" s="3"/>
      <c r="S152" s="3"/>
      <c r="T152" s="3"/>
      <c r="U152" s="3"/>
    </row>
    <row r="153" spans="1:21" ht="12.75">
      <c r="A153" s="143"/>
      <c r="B153" s="143"/>
      <c r="C153" s="2" t="s">
        <v>125</v>
      </c>
      <c r="D153" s="5">
        <v>7000000</v>
      </c>
      <c r="E153" s="3">
        <v>1</v>
      </c>
      <c r="F153" s="17">
        <f t="shared" si="118"/>
        <v>7000000</v>
      </c>
      <c r="G153" s="93">
        <f t="shared" si="116"/>
        <v>100</v>
      </c>
      <c r="H153" s="85">
        <f t="shared" si="119"/>
        <v>7000000</v>
      </c>
      <c r="I153" s="3"/>
      <c r="J153" s="3">
        <v>0</v>
      </c>
      <c r="K153" s="3">
        <v>0</v>
      </c>
      <c r="L153" s="3">
        <v>0</v>
      </c>
      <c r="M153" s="3">
        <v>0</v>
      </c>
      <c r="N153" s="3">
        <v>1</v>
      </c>
      <c r="O153" s="3">
        <v>0</v>
      </c>
      <c r="P153" s="3">
        <v>0</v>
      </c>
      <c r="Q153" s="3">
        <v>0</v>
      </c>
      <c r="R153" s="3">
        <v>0</v>
      </c>
      <c r="S153" s="3">
        <v>0</v>
      </c>
      <c r="T153" s="3">
        <v>0</v>
      </c>
      <c r="U153" s="3">
        <v>0</v>
      </c>
    </row>
    <row r="154" spans="1:21" ht="12.75">
      <c r="A154" s="143"/>
      <c r="B154" s="143"/>
      <c r="C154" s="2" t="s">
        <v>82</v>
      </c>
      <c r="D154" s="5">
        <v>400000</v>
      </c>
      <c r="E154" s="3">
        <v>12</v>
      </c>
      <c r="F154" s="17">
        <f t="shared" si="118"/>
        <v>4800000</v>
      </c>
      <c r="G154" s="93">
        <f t="shared" si="116"/>
        <v>50</v>
      </c>
      <c r="H154" s="85">
        <f t="shared" si="119"/>
        <v>2400000</v>
      </c>
      <c r="I154" s="3"/>
      <c r="J154" s="3">
        <v>1</v>
      </c>
      <c r="K154" s="3">
        <v>1</v>
      </c>
      <c r="L154" s="3">
        <v>1</v>
      </c>
      <c r="M154" s="3">
        <v>1</v>
      </c>
      <c r="N154" s="3">
        <v>1</v>
      </c>
      <c r="O154" s="3">
        <v>1</v>
      </c>
      <c r="P154" s="3"/>
      <c r="Q154" s="3"/>
      <c r="R154" s="3"/>
      <c r="S154" s="3"/>
      <c r="T154" s="3"/>
      <c r="U154" s="3"/>
    </row>
    <row r="155" spans="1:21" ht="12.75">
      <c r="A155" s="143"/>
      <c r="B155" s="143"/>
      <c r="C155" s="2" t="s">
        <v>112</v>
      </c>
      <c r="D155" s="5">
        <v>400000</v>
      </c>
      <c r="E155" s="3">
        <v>2</v>
      </c>
      <c r="F155" s="17">
        <f t="shared" si="118"/>
        <v>800000</v>
      </c>
      <c r="G155" s="93">
        <f t="shared" si="116"/>
        <v>100</v>
      </c>
      <c r="H155" s="85">
        <f t="shared" si="119"/>
        <v>800000</v>
      </c>
      <c r="I155" s="3"/>
      <c r="J155" s="3">
        <v>2</v>
      </c>
      <c r="K155" s="3">
        <v>0</v>
      </c>
      <c r="L155" s="3">
        <v>0</v>
      </c>
      <c r="M155" s="3">
        <v>0</v>
      </c>
      <c r="N155" s="3">
        <v>0</v>
      </c>
      <c r="O155" s="3">
        <v>0</v>
      </c>
      <c r="P155" s="3">
        <v>0</v>
      </c>
      <c r="Q155" s="3">
        <v>0</v>
      </c>
      <c r="R155" s="3">
        <v>0</v>
      </c>
      <c r="S155" s="3">
        <v>0</v>
      </c>
      <c r="T155" s="3">
        <v>0</v>
      </c>
      <c r="U155" s="3">
        <v>0</v>
      </c>
    </row>
    <row r="156" spans="1:21" ht="12.75">
      <c r="A156" s="143"/>
      <c r="B156" s="143"/>
      <c r="C156" s="2" t="s">
        <v>126</v>
      </c>
      <c r="D156" s="5">
        <v>100000</v>
      </c>
      <c r="E156" s="3">
        <v>12</v>
      </c>
      <c r="F156" s="17">
        <f t="shared" si="118"/>
        <v>1200000</v>
      </c>
      <c r="G156" s="93">
        <f t="shared" si="116"/>
        <v>50</v>
      </c>
      <c r="H156" s="85">
        <f t="shared" si="119"/>
        <v>600000</v>
      </c>
      <c r="I156" s="3"/>
      <c r="J156" s="3">
        <v>1</v>
      </c>
      <c r="K156" s="3">
        <v>1</v>
      </c>
      <c r="L156" s="3">
        <v>1</v>
      </c>
      <c r="M156" s="3">
        <v>1</v>
      </c>
      <c r="N156" s="3">
        <v>1</v>
      </c>
      <c r="O156" s="3">
        <v>1</v>
      </c>
      <c r="P156" s="3"/>
      <c r="Q156" s="3"/>
      <c r="R156" s="3"/>
      <c r="S156" s="3"/>
      <c r="T156" s="3"/>
      <c r="U156" s="3"/>
    </row>
    <row r="157" spans="1:21" ht="12.75">
      <c r="A157" s="143"/>
      <c r="B157" s="143"/>
      <c r="C157" s="152" t="s">
        <v>74</v>
      </c>
      <c r="D157" s="149"/>
      <c r="E157" s="141"/>
      <c r="F157" s="82">
        <f>SUM(F148:F156)</f>
        <v>149600000</v>
      </c>
      <c r="G157" s="94">
        <f t="shared" si="116"/>
        <v>7.2192513368983953</v>
      </c>
      <c r="H157" s="83">
        <f>SUM(H153:H156)</f>
        <v>10800000</v>
      </c>
      <c r="I157" s="92"/>
      <c r="J157" s="84">
        <f>$D148*J148+$D149*J149+$D150*J150+$D151*J151+D$152*J152+D$153*J153+D$154*J154+D$155*J155+D$156*J156</f>
        <v>12400000</v>
      </c>
      <c r="K157" s="84">
        <f>$D148*K148+$D149*K149+$D150*K150+$D151*K151+D$152*K152+D$153*K153+D$154*K154+D$155*K155+D$156*K156</f>
        <v>11960000</v>
      </c>
      <c r="L157" s="84">
        <f>$D148*L148+$D149*L149+$D150*L150+$D151*L151+D$152*L152+D$153*L153+D$154*L154+D$155*L155+D$156*L156</f>
        <v>11484000</v>
      </c>
      <c r="M157" s="84">
        <f>$D148*M148+$D149*M149+$D150*M150+$D151*M151+D$152*M152+D$153*M153+D$154*M154+D$155*M155+D$156*M156</f>
        <v>12776000</v>
      </c>
      <c r="N157" s="84">
        <f>$D148*N148+$D149*N149+$D150*N150+$D151*N151+D$152*N152+D$153*N153+D$154*N154+D$155*N155+D$156*N156</f>
        <v>19708000</v>
      </c>
      <c r="O157" s="84">
        <f>$D148*O148+$D149*O149+$D150*O150+$D151*O151+$D$152*O152+$D$153*O153+$D$154*O154+$D$155*O155+$D$156*O156</f>
        <v>11960000</v>
      </c>
      <c r="P157" s="84">
        <f t="shared" ref="P157:U157" si="120">$D153*P153+$D154*P154+$D155*P155+$D156*P156</f>
        <v>0</v>
      </c>
      <c r="Q157" s="84">
        <f t="shared" si="120"/>
        <v>0</v>
      </c>
      <c r="R157" s="84">
        <f t="shared" si="120"/>
        <v>0</v>
      </c>
      <c r="S157" s="84">
        <f t="shared" si="120"/>
        <v>0</v>
      </c>
      <c r="T157" s="84">
        <f t="shared" si="120"/>
        <v>0</v>
      </c>
      <c r="U157" s="84">
        <f t="shared" si="120"/>
        <v>0</v>
      </c>
    </row>
    <row r="158" spans="1:21" ht="12.75">
      <c r="A158" s="143"/>
      <c r="B158" s="143"/>
      <c r="C158" s="152" t="s">
        <v>75</v>
      </c>
      <c r="D158" s="149"/>
      <c r="E158" s="141"/>
      <c r="F158" s="31">
        <f t="shared" ref="F158:H158" si="121">F157*10%</f>
        <v>14960000</v>
      </c>
      <c r="G158" s="32">
        <f t="shared" si="121"/>
        <v>0.72192513368983957</v>
      </c>
      <c r="H158" s="83">
        <f t="shared" si="121"/>
        <v>1080000</v>
      </c>
      <c r="I158" s="92"/>
      <c r="J158" s="86">
        <f t="shared" ref="J158:U158" si="122">J157*10%</f>
        <v>1240000</v>
      </c>
      <c r="K158" s="86">
        <f t="shared" si="122"/>
        <v>1196000</v>
      </c>
      <c r="L158" s="86">
        <f t="shared" si="122"/>
        <v>1148400</v>
      </c>
      <c r="M158" s="86">
        <f t="shared" si="122"/>
        <v>1277600</v>
      </c>
      <c r="N158" s="86">
        <f t="shared" si="122"/>
        <v>1970800</v>
      </c>
      <c r="O158" s="86">
        <f t="shared" si="122"/>
        <v>1196000</v>
      </c>
      <c r="P158" s="86">
        <f t="shared" si="122"/>
        <v>0</v>
      </c>
      <c r="Q158" s="86">
        <f t="shared" si="122"/>
        <v>0</v>
      </c>
      <c r="R158" s="86">
        <f t="shared" si="122"/>
        <v>0</v>
      </c>
      <c r="S158" s="86">
        <f t="shared" si="122"/>
        <v>0</v>
      </c>
      <c r="T158" s="86">
        <f t="shared" si="122"/>
        <v>0</v>
      </c>
      <c r="U158" s="86">
        <f t="shared" si="122"/>
        <v>0</v>
      </c>
    </row>
    <row r="159" spans="1:21" ht="12.75">
      <c r="A159" s="144"/>
      <c r="B159" s="144"/>
      <c r="C159" s="152" t="s">
        <v>76</v>
      </c>
      <c r="D159" s="149"/>
      <c r="E159" s="141"/>
      <c r="F159" s="31">
        <f>F157+F158</f>
        <v>164560000</v>
      </c>
      <c r="G159" s="32">
        <f t="shared" ref="G159:G185" si="123">H159/F159*100</f>
        <v>7.2192513368983953</v>
      </c>
      <c r="H159" s="83">
        <f>SUM(H157:H158)</f>
        <v>11880000</v>
      </c>
      <c r="I159" s="92"/>
      <c r="J159" s="86">
        <f t="shared" ref="J159:U159" si="124">SUM(J157:J158)</f>
        <v>13640000</v>
      </c>
      <c r="K159" s="86">
        <f t="shared" si="124"/>
        <v>13156000</v>
      </c>
      <c r="L159" s="86">
        <f t="shared" si="124"/>
        <v>12632400</v>
      </c>
      <c r="M159" s="86">
        <f t="shared" si="124"/>
        <v>14053600</v>
      </c>
      <c r="N159" s="86">
        <f t="shared" si="124"/>
        <v>21678800</v>
      </c>
      <c r="O159" s="86">
        <f t="shared" si="124"/>
        <v>13156000</v>
      </c>
      <c r="P159" s="86">
        <f t="shared" si="124"/>
        <v>0</v>
      </c>
      <c r="Q159" s="86">
        <f t="shared" si="124"/>
        <v>0</v>
      </c>
      <c r="R159" s="86">
        <f t="shared" si="124"/>
        <v>0</v>
      </c>
      <c r="S159" s="86">
        <f t="shared" si="124"/>
        <v>0</v>
      </c>
      <c r="T159" s="86">
        <f t="shared" si="124"/>
        <v>0</v>
      </c>
      <c r="U159" s="86">
        <f t="shared" si="124"/>
        <v>0</v>
      </c>
    </row>
    <row r="160" spans="1:21" ht="12.75">
      <c r="A160" s="145">
        <v>48</v>
      </c>
      <c r="B160" s="151" t="s">
        <v>185</v>
      </c>
      <c r="C160" s="42" t="s">
        <v>68</v>
      </c>
      <c r="D160" s="5">
        <v>70000</v>
      </c>
      <c r="E160" s="3">
        <v>455</v>
      </c>
      <c r="F160" s="18">
        <f t="shared" ref="F160:F164" si="125">D160*E160</f>
        <v>31850000</v>
      </c>
      <c r="G160" s="93">
        <f t="shared" si="123"/>
        <v>9.4505494505494507</v>
      </c>
      <c r="H160" s="85">
        <f t="shared" ref="H160:H164" si="126">SUM(I160:U160)*D160</f>
        <v>3010000</v>
      </c>
      <c r="I160" s="95"/>
      <c r="J160" s="95"/>
      <c r="K160" s="95"/>
      <c r="L160" s="95"/>
      <c r="M160" s="81">
        <v>2</v>
      </c>
      <c r="N160" s="81">
        <v>13</v>
      </c>
      <c r="O160" s="81">
        <v>28</v>
      </c>
      <c r="P160" s="81"/>
      <c r="Q160" s="81"/>
      <c r="R160" s="81"/>
      <c r="S160" s="81"/>
      <c r="T160" s="81"/>
      <c r="U160" s="81"/>
    </row>
    <row r="161" spans="1:21" ht="12.75">
      <c r="A161" s="143"/>
      <c r="B161" s="143"/>
      <c r="C161" s="42" t="s">
        <v>127</v>
      </c>
      <c r="D161" s="5">
        <v>700000</v>
      </c>
      <c r="E161" s="3">
        <v>6</v>
      </c>
      <c r="F161" s="18">
        <f t="shared" si="125"/>
        <v>4200000</v>
      </c>
      <c r="G161" s="93">
        <f t="shared" si="123"/>
        <v>33.333333333333329</v>
      </c>
      <c r="H161" s="85">
        <f t="shared" si="126"/>
        <v>1400000</v>
      </c>
      <c r="I161" s="95"/>
      <c r="J161" s="95"/>
      <c r="K161" s="95"/>
      <c r="L161" s="95"/>
      <c r="M161" s="81">
        <v>0</v>
      </c>
      <c r="N161" s="81">
        <v>1</v>
      </c>
      <c r="O161" s="81">
        <v>1</v>
      </c>
      <c r="P161" s="81"/>
      <c r="Q161" s="81"/>
      <c r="R161" s="81"/>
      <c r="S161" s="81"/>
      <c r="T161" s="81"/>
      <c r="U161" s="81"/>
    </row>
    <row r="162" spans="1:21" ht="12.75">
      <c r="A162" s="143"/>
      <c r="B162" s="143"/>
      <c r="C162" s="42" t="s">
        <v>128</v>
      </c>
      <c r="D162" s="5">
        <v>800000</v>
      </c>
      <c r="E162" s="3">
        <v>6</v>
      </c>
      <c r="F162" s="18">
        <f t="shared" si="125"/>
        <v>4800000</v>
      </c>
      <c r="G162" s="93">
        <f t="shared" si="123"/>
        <v>33.333333333333329</v>
      </c>
      <c r="H162" s="85">
        <f t="shared" si="126"/>
        <v>1600000</v>
      </c>
      <c r="I162" s="95"/>
      <c r="J162" s="95"/>
      <c r="K162" s="95"/>
      <c r="L162" s="95"/>
      <c r="M162" s="81">
        <v>0</v>
      </c>
      <c r="N162" s="81">
        <v>1</v>
      </c>
      <c r="O162" s="81">
        <v>1</v>
      </c>
      <c r="P162" s="81"/>
      <c r="Q162" s="81"/>
      <c r="R162" s="81"/>
      <c r="S162" s="81"/>
      <c r="T162" s="81"/>
      <c r="U162" s="81"/>
    </row>
    <row r="163" spans="1:21" ht="12.75">
      <c r="A163" s="143"/>
      <c r="B163" s="143"/>
      <c r="C163" s="42" t="s">
        <v>129</v>
      </c>
      <c r="D163" s="5">
        <v>800000</v>
      </c>
      <c r="E163" s="3">
        <v>2</v>
      </c>
      <c r="F163" s="18">
        <f t="shared" si="125"/>
        <v>1600000</v>
      </c>
      <c r="G163" s="93">
        <f t="shared" si="123"/>
        <v>100</v>
      </c>
      <c r="H163" s="85">
        <f t="shared" si="126"/>
        <v>1600000</v>
      </c>
      <c r="I163" s="95"/>
      <c r="J163" s="95"/>
      <c r="K163" s="95"/>
      <c r="L163" s="95"/>
      <c r="M163" s="81">
        <v>0</v>
      </c>
      <c r="N163" s="81">
        <v>0</v>
      </c>
      <c r="O163" s="81">
        <v>2</v>
      </c>
      <c r="P163" s="81">
        <v>0</v>
      </c>
      <c r="Q163" s="81">
        <v>0</v>
      </c>
      <c r="R163" s="81">
        <v>0</v>
      </c>
      <c r="S163" s="81">
        <v>0</v>
      </c>
      <c r="T163" s="81">
        <v>0</v>
      </c>
      <c r="U163" s="81">
        <v>0</v>
      </c>
    </row>
    <row r="164" spans="1:21" ht="12.75">
      <c r="A164" s="143"/>
      <c r="B164" s="143"/>
      <c r="C164" s="42" t="s">
        <v>130</v>
      </c>
      <c r="D164" s="5">
        <v>200000</v>
      </c>
      <c r="E164" s="3">
        <v>9</v>
      </c>
      <c r="F164" s="18">
        <f t="shared" si="125"/>
        <v>1800000</v>
      </c>
      <c r="G164" s="93">
        <f t="shared" si="123"/>
        <v>33.333333333333329</v>
      </c>
      <c r="H164" s="85">
        <f t="shared" si="126"/>
        <v>600000</v>
      </c>
      <c r="I164" s="95"/>
      <c r="J164" s="95"/>
      <c r="K164" s="95"/>
      <c r="L164" s="95"/>
      <c r="M164" s="81">
        <v>1</v>
      </c>
      <c r="N164" s="81">
        <v>1</v>
      </c>
      <c r="O164" s="81">
        <v>1</v>
      </c>
      <c r="P164" s="81"/>
      <c r="Q164" s="81"/>
      <c r="R164" s="81"/>
      <c r="S164" s="81"/>
      <c r="T164" s="81"/>
      <c r="U164" s="81"/>
    </row>
    <row r="165" spans="1:21" ht="12.75">
      <c r="A165" s="143"/>
      <c r="B165" s="143"/>
      <c r="C165" s="150" t="s">
        <v>74</v>
      </c>
      <c r="D165" s="149"/>
      <c r="E165" s="141"/>
      <c r="F165" s="82">
        <f>SUM(F160:F164)</f>
        <v>44250000</v>
      </c>
      <c r="G165" s="94">
        <f t="shared" si="123"/>
        <v>18.55367231638418</v>
      </c>
      <c r="H165" s="83">
        <f>SUM(H160:H164)</f>
        <v>8210000</v>
      </c>
      <c r="I165" s="52"/>
      <c r="J165" s="52"/>
      <c r="K165" s="52"/>
      <c r="L165" s="52"/>
      <c r="M165" s="84">
        <f>$D160*M160+$D161*M161+$D163*M163+$D164*M164</f>
        <v>340000</v>
      </c>
      <c r="N165" s="84">
        <f>$D160*N160+$D161*N161+$D163*N163+$D164*N164+D162*N162</f>
        <v>2610000</v>
      </c>
      <c r="O165" s="84">
        <f>$D160*O160+$D161*O161+$D163*O163+$D164*O164+D162*O162</f>
        <v>5260000</v>
      </c>
      <c r="P165" s="84">
        <f t="shared" ref="P165:U165" si="127">$D160*P160+$D161*P161+$D163*P163+$D164*P164</f>
        <v>0</v>
      </c>
      <c r="Q165" s="84">
        <f t="shared" si="127"/>
        <v>0</v>
      </c>
      <c r="R165" s="84">
        <f t="shared" si="127"/>
        <v>0</v>
      </c>
      <c r="S165" s="84">
        <f t="shared" si="127"/>
        <v>0</v>
      </c>
      <c r="T165" s="84">
        <f t="shared" si="127"/>
        <v>0</v>
      </c>
      <c r="U165" s="84">
        <f t="shared" si="127"/>
        <v>0</v>
      </c>
    </row>
    <row r="166" spans="1:21" ht="12.75">
      <c r="A166" s="143"/>
      <c r="B166" s="143"/>
      <c r="C166" s="150" t="s">
        <v>75</v>
      </c>
      <c r="D166" s="149"/>
      <c r="E166" s="141"/>
      <c r="F166" s="31">
        <f>F165*10%</f>
        <v>4425000</v>
      </c>
      <c r="G166" s="94">
        <f t="shared" si="123"/>
        <v>18.55367231638418</v>
      </c>
      <c r="H166" s="83">
        <f>H165*10%</f>
        <v>821000</v>
      </c>
      <c r="I166" s="96"/>
      <c r="J166" s="96"/>
      <c r="K166" s="96"/>
      <c r="L166" s="96"/>
      <c r="M166" s="86">
        <f t="shared" ref="M166:U166" si="128">M165*10%</f>
        <v>34000</v>
      </c>
      <c r="N166" s="86">
        <f t="shared" si="128"/>
        <v>261000</v>
      </c>
      <c r="O166" s="86">
        <f t="shared" si="128"/>
        <v>526000</v>
      </c>
      <c r="P166" s="86">
        <f t="shared" si="128"/>
        <v>0</v>
      </c>
      <c r="Q166" s="86">
        <f t="shared" si="128"/>
        <v>0</v>
      </c>
      <c r="R166" s="86">
        <f t="shared" si="128"/>
        <v>0</v>
      </c>
      <c r="S166" s="86">
        <f t="shared" si="128"/>
        <v>0</v>
      </c>
      <c r="T166" s="86">
        <f t="shared" si="128"/>
        <v>0</v>
      </c>
      <c r="U166" s="86">
        <f t="shared" si="128"/>
        <v>0</v>
      </c>
    </row>
    <row r="167" spans="1:21" ht="12.75">
      <c r="A167" s="144"/>
      <c r="B167" s="144"/>
      <c r="C167" s="150" t="s">
        <v>76</v>
      </c>
      <c r="D167" s="149"/>
      <c r="E167" s="141"/>
      <c r="F167" s="31">
        <f>F165+F166</f>
        <v>48675000</v>
      </c>
      <c r="G167" s="94">
        <f t="shared" si="123"/>
        <v>18.55367231638418</v>
      </c>
      <c r="H167" s="83">
        <f>SUM(H165:H166)</f>
        <v>9031000</v>
      </c>
      <c r="I167" s="96"/>
      <c r="J167" s="96"/>
      <c r="K167" s="96"/>
      <c r="L167" s="96"/>
      <c r="M167" s="86">
        <f t="shared" ref="M167:U167" si="129">SUM(M165:M166)</f>
        <v>374000</v>
      </c>
      <c r="N167" s="86">
        <f t="shared" si="129"/>
        <v>2871000</v>
      </c>
      <c r="O167" s="86">
        <f t="shared" si="129"/>
        <v>5786000</v>
      </c>
      <c r="P167" s="86">
        <f t="shared" si="129"/>
        <v>0</v>
      </c>
      <c r="Q167" s="86">
        <f t="shared" si="129"/>
        <v>0</v>
      </c>
      <c r="R167" s="86">
        <f t="shared" si="129"/>
        <v>0</v>
      </c>
      <c r="S167" s="86">
        <f t="shared" si="129"/>
        <v>0</v>
      </c>
      <c r="T167" s="86">
        <f t="shared" si="129"/>
        <v>0</v>
      </c>
      <c r="U167" s="86">
        <f t="shared" si="129"/>
        <v>0</v>
      </c>
    </row>
    <row r="168" spans="1:21" ht="12.75">
      <c r="A168" s="146">
        <v>49</v>
      </c>
      <c r="B168" s="147" t="s">
        <v>38</v>
      </c>
      <c r="C168" s="42" t="s">
        <v>67</v>
      </c>
      <c r="D168" s="18">
        <v>1000000</v>
      </c>
      <c r="E168" s="18">
        <v>1</v>
      </c>
      <c r="F168" s="18">
        <f t="shared" ref="F168:F175" si="130">D168*E168</f>
        <v>1000000</v>
      </c>
      <c r="G168" s="43">
        <f t="shared" si="123"/>
        <v>0</v>
      </c>
      <c r="H168" s="44">
        <f t="shared" ref="H168:H175" si="131">SUM(I168:U168)*D168</f>
        <v>0</v>
      </c>
      <c r="I168" s="95"/>
      <c r="J168" s="95"/>
      <c r="K168" s="95"/>
      <c r="L168" s="95"/>
      <c r="M168" s="95"/>
      <c r="N168" s="17">
        <v>0</v>
      </c>
      <c r="O168" s="17">
        <v>0</v>
      </c>
      <c r="P168" s="17"/>
      <c r="Q168" s="17"/>
      <c r="R168" s="17"/>
      <c r="S168" s="17"/>
      <c r="T168" s="17"/>
      <c r="U168" s="17"/>
    </row>
    <row r="169" spans="1:21" ht="12.75">
      <c r="A169" s="143"/>
      <c r="B169" s="143"/>
      <c r="C169" s="42" t="s">
        <v>68</v>
      </c>
      <c r="D169" s="18">
        <v>80000</v>
      </c>
      <c r="E169" s="18">
        <v>1850</v>
      </c>
      <c r="F169" s="18">
        <f t="shared" si="130"/>
        <v>148000000</v>
      </c>
      <c r="G169" s="43">
        <f t="shared" si="123"/>
        <v>13.459459459459461</v>
      </c>
      <c r="H169" s="44">
        <f t="shared" si="131"/>
        <v>19920000</v>
      </c>
      <c r="I169" s="95"/>
      <c r="J169" s="95"/>
      <c r="K169" s="95"/>
      <c r="L169" s="95"/>
      <c r="M169" s="95"/>
      <c r="N169" s="17">
        <v>0</v>
      </c>
      <c r="O169" s="17">
        <v>249</v>
      </c>
      <c r="P169" s="17"/>
      <c r="Q169" s="17"/>
      <c r="R169" s="17"/>
      <c r="S169" s="17"/>
      <c r="T169" s="17"/>
      <c r="U169" s="17"/>
    </row>
    <row r="170" spans="1:21" ht="12.75">
      <c r="A170" s="143"/>
      <c r="B170" s="143"/>
      <c r="C170" s="42" t="s">
        <v>131</v>
      </c>
      <c r="D170" s="18">
        <v>110000</v>
      </c>
      <c r="E170" s="18">
        <v>50</v>
      </c>
      <c r="F170" s="18">
        <f t="shared" si="130"/>
        <v>5500000</v>
      </c>
      <c r="G170" s="43">
        <f t="shared" si="123"/>
        <v>0</v>
      </c>
      <c r="H170" s="44">
        <f t="shared" si="131"/>
        <v>0</v>
      </c>
      <c r="I170" s="95"/>
      <c r="J170" s="95"/>
      <c r="K170" s="95"/>
      <c r="L170" s="95"/>
      <c r="M170" s="95"/>
      <c r="N170" s="17">
        <v>0</v>
      </c>
      <c r="O170" s="17">
        <v>0</v>
      </c>
      <c r="P170" s="17"/>
      <c r="Q170" s="17"/>
      <c r="R170" s="17"/>
      <c r="S170" s="17"/>
      <c r="T170" s="17"/>
      <c r="U170" s="17"/>
    </row>
    <row r="171" spans="1:21" ht="12.75">
      <c r="A171" s="143"/>
      <c r="B171" s="143"/>
      <c r="C171" s="42" t="s">
        <v>132</v>
      </c>
      <c r="D171" s="18">
        <v>100000</v>
      </c>
      <c r="E171" s="18">
        <v>30</v>
      </c>
      <c r="F171" s="18">
        <f t="shared" si="130"/>
        <v>3000000</v>
      </c>
      <c r="G171" s="43">
        <f t="shared" si="123"/>
        <v>0</v>
      </c>
      <c r="H171" s="44">
        <f t="shared" si="131"/>
        <v>0</v>
      </c>
      <c r="I171" s="95"/>
      <c r="J171" s="95"/>
      <c r="K171" s="95"/>
      <c r="L171" s="95"/>
      <c r="M171" s="95"/>
      <c r="N171" s="17">
        <v>0</v>
      </c>
      <c r="O171" s="17">
        <v>0</v>
      </c>
      <c r="P171" s="17"/>
      <c r="Q171" s="17"/>
      <c r="R171" s="17"/>
      <c r="S171" s="17"/>
      <c r="T171" s="17"/>
      <c r="U171" s="17"/>
    </row>
    <row r="172" spans="1:21" ht="12.75">
      <c r="A172" s="143"/>
      <c r="B172" s="143"/>
      <c r="C172" s="42" t="s">
        <v>133</v>
      </c>
      <c r="D172" s="18">
        <v>950000</v>
      </c>
      <c r="E172" s="18">
        <v>20</v>
      </c>
      <c r="F172" s="18">
        <f t="shared" si="130"/>
        <v>19000000</v>
      </c>
      <c r="G172" s="43">
        <f t="shared" si="123"/>
        <v>0</v>
      </c>
      <c r="H172" s="44">
        <f t="shared" si="131"/>
        <v>0</v>
      </c>
      <c r="I172" s="95"/>
      <c r="J172" s="95"/>
      <c r="K172" s="95"/>
      <c r="L172" s="95"/>
      <c r="M172" s="95"/>
      <c r="N172" s="17">
        <v>0</v>
      </c>
      <c r="O172" s="17">
        <v>0</v>
      </c>
      <c r="P172" s="17"/>
      <c r="Q172" s="17"/>
      <c r="R172" s="17"/>
      <c r="S172" s="17"/>
      <c r="T172" s="17"/>
      <c r="U172" s="17"/>
    </row>
    <row r="173" spans="1:21" ht="12.75">
      <c r="A173" s="143"/>
      <c r="B173" s="143"/>
      <c r="C173" s="42" t="s">
        <v>134</v>
      </c>
      <c r="D173" s="18">
        <v>1000000</v>
      </c>
      <c r="E173" s="18">
        <v>20</v>
      </c>
      <c r="F173" s="18">
        <f t="shared" si="130"/>
        <v>20000000</v>
      </c>
      <c r="G173" s="43">
        <f t="shared" si="123"/>
        <v>5</v>
      </c>
      <c r="H173" s="44">
        <f t="shared" si="131"/>
        <v>1000000</v>
      </c>
      <c r="I173" s="95"/>
      <c r="J173" s="95"/>
      <c r="K173" s="95"/>
      <c r="L173" s="95"/>
      <c r="M173" s="95"/>
      <c r="N173" s="17">
        <v>1</v>
      </c>
      <c r="O173" s="17">
        <v>0</v>
      </c>
      <c r="P173" s="17"/>
      <c r="Q173" s="17"/>
      <c r="R173" s="17"/>
      <c r="S173" s="17"/>
      <c r="T173" s="17"/>
      <c r="U173" s="17"/>
    </row>
    <row r="174" spans="1:21" ht="12.75">
      <c r="A174" s="143"/>
      <c r="B174" s="143"/>
      <c r="C174" s="42" t="s">
        <v>135</v>
      </c>
      <c r="D174" s="18">
        <v>12000000</v>
      </c>
      <c r="E174" s="18">
        <v>1</v>
      </c>
      <c r="F174" s="18">
        <f t="shared" si="130"/>
        <v>12000000</v>
      </c>
      <c r="G174" s="43">
        <f t="shared" si="123"/>
        <v>200</v>
      </c>
      <c r="H174" s="44">
        <f t="shared" si="131"/>
        <v>24000000</v>
      </c>
      <c r="I174" s="95"/>
      <c r="J174" s="95"/>
      <c r="K174" s="95"/>
      <c r="L174" s="95"/>
      <c r="M174" s="95"/>
      <c r="N174" s="17">
        <v>1</v>
      </c>
      <c r="O174" s="17">
        <v>1</v>
      </c>
      <c r="P174" s="17"/>
      <c r="Q174" s="17"/>
      <c r="R174" s="17"/>
      <c r="S174" s="17"/>
      <c r="T174" s="17"/>
      <c r="U174" s="17"/>
    </row>
    <row r="175" spans="1:21" ht="12.75">
      <c r="A175" s="143"/>
      <c r="B175" s="143"/>
      <c r="C175" s="87" t="s">
        <v>79</v>
      </c>
      <c r="D175" s="88">
        <v>100000</v>
      </c>
      <c r="E175" s="88">
        <v>8</v>
      </c>
      <c r="F175" s="18">
        <f t="shared" si="130"/>
        <v>800000</v>
      </c>
      <c r="G175" s="43">
        <f t="shared" si="123"/>
        <v>0</v>
      </c>
      <c r="H175" s="44">
        <f t="shared" si="131"/>
        <v>0</v>
      </c>
      <c r="I175" s="95"/>
      <c r="J175" s="95"/>
      <c r="K175" s="95"/>
      <c r="L175" s="95"/>
      <c r="M175" s="95"/>
      <c r="N175" s="17"/>
      <c r="O175" s="17"/>
      <c r="P175" s="17"/>
      <c r="Q175" s="17"/>
      <c r="R175" s="17"/>
      <c r="S175" s="17"/>
      <c r="T175" s="17"/>
      <c r="U175" s="17"/>
    </row>
    <row r="176" spans="1:21" ht="12.75">
      <c r="A176" s="143"/>
      <c r="B176" s="143"/>
      <c r="C176" s="150" t="s">
        <v>74</v>
      </c>
      <c r="D176" s="149"/>
      <c r="E176" s="141"/>
      <c r="F176" s="82">
        <f>SUM(F168:F175)</f>
        <v>209300000</v>
      </c>
      <c r="G176" s="38">
        <f t="shared" si="123"/>
        <v>21.462016244624941</v>
      </c>
      <c r="H176" s="83">
        <f>SUM(H168:H175)</f>
        <v>44920000</v>
      </c>
      <c r="I176" s="41">
        <f t="shared" ref="I176:U176" si="132">$D$168*I$168+$D$169*I$169+$D$170*I$170+$D$171*I$171+$D$172*I$172+$D$173*I$173+$D$174*I$174+$D$175*I$175</f>
        <v>0</v>
      </c>
      <c r="J176" s="41">
        <f t="shared" si="132"/>
        <v>0</v>
      </c>
      <c r="K176" s="41">
        <f t="shared" si="132"/>
        <v>0</v>
      </c>
      <c r="L176" s="41">
        <f t="shared" si="132"/>
        <v>0</v>
      </c>
      <c r="M176" s="41">
        <f t="shared" si="132"/>
        <v>0</v>
      </c>
      <c r="N176" s="41">
        <f t="shared" si="132"/>
        <v>13000000</v>
      </c>
      <c r="O176" s="41">
        <f t="shared" si="132"/>
        <v>31920000</v>
      </c>
      <c r="P176" s="41">
        <f t="shared" si="132"/>
        <v>0</v>
      </c>
      <c r="Q176" s="41">
        <f t="shared" si="132"/>
        <v>0</v>
      </c>
      <c r="R176" s="41">
        <f t="shared" si="132"/>
        <v>0</v>
      </c>
      <c r="S176" s="41">
        <f t="shared" si="132"/>
        <v>0</v>
      </c>
      <c r="T176" s="41">
        <f t="shared" si="132"/>
        <v>0</v>
      </c>
      <c r="U176" s="41">
        <f t="shared" si="132"/>
        <v>0</v>
      </c>
    </row>
    <row r="177" spans="1:21" ht="12.75">
      <c r="A177" s="143"/>
      <c r="B177" s="143"/>
      <c r="C177" s="150" t="s">
        <v>75</v>
      </c>
      <c r="D177" s="149"/>
      <c r="E177" s="141"/>
      <c r="F177" s="31">
        <f>F176*0.1</f>
        <v>20930000</v>
      </c>
      <c r="G177" s="38">
        <f t="shared" si="123"/>
        <v>21.462016244624941</v>
      </c>
      <c r="H177" s="31">
        <f t="shared" ref="H177:U177" si="133">H176*0.1</f>
        <v>4492000</v>
      </c>
      <c r="I177" s="41">
        <f t="shared" si="133"/>
        <v>0</v>
      </c>
      <c r="J177" s="41">
        <f t="shared" si="133"/>
        <v>0</v>
      </c>
      <c r="K177" s="41">
        <f t="shared" si="133"/>
        <v>0</v>
      </c>
      <c r="L177" s="41">
        <f t="shared" si="133"/>
        <v>0</v>
      </c>
      <c r="M177" s="41">
        <f t="shared" si="133"/>
        <v>0</v>
      </c>
      <c r="N177" s="41">
        <f t="shared" si="133"/>
        <v>1300000</v>
      </c>
      <c r="O177" s="41">
        <f t="shared" si="133"/>
        <v>3192000</v>
      </c>
      <c r="P177" s="41">
        <f t="shared" si="133"/>
        <v>0</v>
      </c>
      <c r="Q177" s="41">
        <f t="shared" si="133"/>
        <v>0</v>
      </c>
      <c r="R177" s="41">
        <f t="shared" si="133"/>
        <v>0</v>
      </c>
      <c r="S177" s="41">
        <f t="shared" si="133"/>
        <v>0</v>
      </c>
      <c r="T177" s="41">
        <f t="shared" si="133"/>
        <v>0</v>
      </c>
      <c r="U177" s="41">
        <f t="shared" si="133"/>
        <v>0</v>
      </c>
    </row>
    <row r="178" spans="1:21" ht="12.75">
      <c r="A178" s="144"/>
      <c r="B178" s="144"/>
      <c r="C178" s="150" t="s">
        <v>76</v>
      </c>
      <c r="D178" s="149"/>
      <c r="E178" s="141"/>
      <c r="F178" s="31">
        <f>F176+F177</f>
        <v>230230000</v>
      </c>
      <c r="G178" s="38">
        <f t="shared" si="123"/>
        <v>21.462016244624941</v>
      </c>
      <c r="H178" s="31">
        <f>H176+H177</f>
        <v>49412000</v>
      </c>
      <c r="I178" s="41">
        <f t="shared" ref="I178:U178" si="134">SUM(I176:I177)</f>
        <v>0</v>
      </c>
      <c r="J178" s="41">
        <f t="shared" si="134"/>
        <v>0</v>
      </c>
      <c r="K178" s="41">
        <f t="shared" si="134"/>
        <v>0</v>
      </c>
      <c r="L178" s="41">
        <f t="shared" si="134"/>
        <v>0</v>
      </c>
      <c r="M178" s="41">
        <f t="shared" si="134"/>
        <v>0</v>
      </c>
      <c r="N178" s="41">
        <f t="shared" si="134"/>
        <v>14300000</v>
      </c>
      <c r="O178" s="41">
        <f t="shared" si="134"/>
        <v>35112000</v>
      </c>
      <c r="P178" s="41">
        <f t="shared" si="134"/>
        <v>0</v>
      </c>
      <c r="Q178" s="41">
        <f t="shared" si="134"/>
        <v>0</v>
      </c>
      <c r="R178" s="41">
        <f t="shared" si="134"/>
        <v>0</v>
      </c>
      <c r="S178" s="41">
        <f t="shared" si="134"/>
        <v>0</v>
      </c>
      <c r="T178" s="41">
        <f t="shared" si="134"/>
        <v>0</v>
      </c>
      <c r="U178" s="41">
        <f t="shared" si="134"/>
        <v>0</v>
      </c>
    </row>
    <row r="179" spans="1:21" ht="12.75">
      <c r="A179" s="145">
        <v>50</v>
      </c>
      <c r="B179" s="142" t="s">
        <v>39</v>
      </c>
      <c r="C179" s="2" t="s">
        <v>67</v>
      </c>
      <c r="D179" s="5">
        <v>2500000</v>
      </c>
      <c r="E179" s="3">
        <v>1</v>
      </c>
      <c r="F179" s="18">
        <f t="shared" ref="F179:F184" si="135">D179*E179</f>
        <v>2500000</v>
      </c>
      <c r="G179" s="43">
        <f t="shared" si="123"/>
        <v>100</v>
      </c>
      <c r="H179" s="44">
        <f t="shared" ref="H179:H184" si="136">SUM(I179:U179)*D179</f>
        <v>2500000</v>
      </c>
      <c r="I179" s="16"/>
      <c r="J179" s="16"/>
      <c r="K179" s="16"/>
      <c r="L179" s="16"/>
      <c r="M179" s="16"/>
      <c r="N179" s="16"/>
      <c r="O179" s="3">
        <v>0</v>
      </c>
      <c r="P179" s="3">
        <v>1</v>
      </c>
      <c r="Q179" s="3">
        <v>0</v>
      </c>
      <c r="R179" s="3">
        <v>0</v>
      </c>
      <c r="S179" s="3">
        <v>0</v>
      </c>
      <c r="T179" s="3">
        <v>0</v>
      </c>
      <c r="U179" s="3">
        <v>0</v>
      </c>
    </row>
    <row r="180" spans="1:21" ht="12.75">
      <c r="A180" s="143"/>
      <c r="B180" s="143"/>
      <c r="C180" s="2" t="s">
        <v>136</v>
      </c>
      <c r="D180" s="5">
        <v>85000</v>
      </c>
      <c r="E180" s="3">
        <v>157</v>
      </c>
      <c r="F180" s="18">
        <f t="shared" si="135"/>
        <v>13345000</v>
      </c>
      <c r="G180" s="43">
        <f t="shared" si="123"/>
        <v>2.547770700636943</v>
      </c>
      <c r="H180" s="44">
        <f t="shared" si="136"/>
        <v>340000</v>
      </c>
      <c r="I180" s="16"/>
      <c r="J180" s="16"/>
      <c r="K180" s="16"/>
      <c r="L180" s="16"/>
      <c r="M180" s="16"/>
      <c r="N180" s="16"/>
      <c r="O180" s="3">
        <v>4</v>
      </c>
      <c r="P180" s="3"/>
      <c r="Q180" s="3"/>
      <c r="R180" s="3"/>
      <c r="S180" s="3"/>
      <c r="T180" s="3"/>
      <c r="U180" s="3"/>
    </row>
    <row r="181" spans="1:21" ht="12.75">
      <c r="A181" s="143"/>
      <c r="B181" s="143"/>
      <c r="C181" s="2" t="s">
        <v>109</v>
      </c>
      <c r="D181" s="5">
        <v>1100000</v>
      </c>
      <c r="E181" s="3">
        <v>2</v>
      </c>
      <c r="F181" s="18">
        <f t="shared" si="135"/>
        <v>2200000</v>
      </c>
      <c r="G181" s="43">
        <f t="shared" si="123"/>
        <v>0</v>
      </c>
      <c r="H181" s="44">
        <f t="shared" si="136"/>
        <v>0</v>
      </c>
      <c r="I181" s="16"/>
      <c r="J181" s="16"/>
      <c r="K181" s="16"/>
      <c r="L181" s="16"/>
      <c r="M181" s="16"/>
      <c r="N181" s="16"/>
      <c r="O181" s="3">
        <v>0</v>
      </c>
      <c r="P181" s="3"/>
      <c r="Q181" s="3"/>
      <c r="R181" s="3"/>
      <c r="S181" s="3"/>
      <c r="T181" s="3"/>
      <c r="U181" s="3"/>
    </row>
    <row r="182" spans="1:21" ht="12.75">
      <c r="A182" s="143"/>
      <c r="B182" s="143"/>
      <c r="C182" s="2" t="s">
        <v>111</v>
      </c>
      <c r="D182" s="5">
        <v>900000</v>
      </c>
      <c r="E182" s="3">
        <v>1</v>
      </c>
      <c r="F182" s="18">
        <f t="shared" si="135"/>
        <v>900000</v>
      </c>
      <c r="G182" s="43">
        <f t="shared" si="123"/>
        <v>0</v>
      </c>
      <c r="H182" s="44">
        <f t="shared" si="136"/>
        <v>0</v>
      </c>
      <c r="I182" s="16"/>
      <c r="J182" s="16"/>
      <c r="K182" s="16"/>
      <c r="L182" s="16"/>
      <c r="M182" s="16"/>
      <c r="N182" s="16"/>
      <c r="O182" s="3">
        <v>0</v>
      </c>
      <c r="P182" s="3"/>
      <c r="Q182" s="3"/>
      <c r="R182" s="3"/>
      <c r="S182" s="3"/>
      <c r="T182" s="3"/>
      <c r="U182" s="3"/>
    </row>
    <row r="183" spans="1:21" ht="12.75">
      <c r="A183" s="143"/>
      <c r="B183" s="143"/>
      <c r="C183" s="2" t="s">
        <v>135</v>
      </c>
      <c r="D183" s="5">
        <v>300000</v>
      </c>
      <c r="E183" s="3">
        <v>1</v>
      </c>
      <c r="F183" s="18">
        <f t="shared" si="135"/>
        <v>300000</v>
      </c>
      <c r="G183" s="43">
        <f t="shared" si="123"/>
        <v>100</v>
      </c>
      <c r="H183" s="44">
        <f t="shared" si="136"/>
        <v>300000</v>
      </c>
      <c r="I183" s="16"/>
      <c r="J183" s="16"/>
      <c r="K183" s="16"/>
      <c r="L183" s="16"/>
      <c r="M183" s="16"/>
      <c r="N183" s="16"/>
      <c r="O183" s="3">
        <v>1</v>
      </c>
      <c r="P183" s="3"/>
      <c r="Q183" s="3"/>
      <c r="R183" s="3"/>
      <c r="S183" s="3"/>
      <c r="T183" s="3"/>
      <c r="U183" s="3"/>
    </row>
    <row r="184" spans="1:21" ht="12.75">
      <c r="A184" s="143"/>
      <c r="B184" s="143"/>
      <c r="C184" s="2" t="s">
        <v>110</v>
      </c>
      <c r="D184" s="5">
        <v>100000</v>
      </c>
      <c r="E184" s="3">
        <v>6</v>
      </c>
      <c r="F184" s="18">
        <f t="shared" si="135"/>
        <v>600000</v>
      </c>
      <c r="G184" s="43">
        <f t="shared" si="123"/>
        <v>16.666666666666664</v>
      </c>
      <c r="H184" s="44">
        <f t="shared" si="136"/>
        <v>100000</v>
      </c>
      <c r="I184" s="16"/>
      <c r="J184" s="16"/>
      <c r="K184" s="16"/>
      <c r="L184" s="16"/>
      <c r="M184" s="16"/>
      <c r="N184" s="16"/>
      <c r="O184" s="3">
        <v>1</v>
      </c>
      <c r="P184" s="3"/>
      <c r="Q184" s="3"/>
      <c r="R184" s="3"/>
      <c r="S184" s="3"/>
      <c r="T184" s="3"/>
      <c r="U184" s="3"/>
    </row>
    <row r="185" spans="1:21" ht="12.75">
      <c r="A185" s="143"/>
      <c r="B185" s="143"/>
      <c r="C185" s="152" t="s">
        <v>74</v>
      </c>
      <c r="D185" s="149"/>
      <c r="E185" s="141"/>
      <c r="F185" s="82">
        <f>SUM(F179:F184)</f>
        <v>19845000</v>
      </c>
      <c r="G185" s="38">
        <f t="shared" si="123"/>
        <v>3.7288989669942048</v>
      </c>
      <c r="H185" s="83">
        <f>SUM(H180:H184)</f>
        <v>740000</v>
      </c>
      <c r="I185" s="92"/>
      <c r="J185" s="92"/>
      <c r="K185" s="92"/>
      <c r="L185" s="92"/>
      <c r="M185" s="92"/>
      <c r="N185" s="92"/>
      <c r="O185" s="84">
        <f>$D180*O180+$D181*O181+$D183*O183+$D184*O184+D182*O182</f>
        <v>740000</v>
      </c>
      <c r="P185" s="92"/>
      <c r="Q185" s="92"/>
      <c r="R185" s="92"/>
      <c r="S185" s="92"/>
      <c r="T185" s="92"/>
      <c r="U185" s="92"/>
    </row>
    <row r="186" spans="1:21" ht="12.75">
      <c r="A186" s="143"/>
      <c r="B186" s="143"/>
      <c r="C186" s="152" t="s">
        <v>75</v>
      </c>
      <c r="D186" s="149"/>
      <c r="E186" s="141"/>
      <c r="F186" s="31">
        <f>F185*0.1</f>
        <v>1984500</v>
      </c>
      <c r="G186" s="92"/>
      <c r="H186" s="31">
        <f>H185*0.1</f>
        <v>74000</v>
      </c>
      <c r="I186" s="92"/>
      <c r="J186" s="92"/>
      <c r="K186" s="92"/>
      <c r="L186" s="92"/>
      <c r="M186" s="92"/>
      <c r="N186" s="92"/>
      <c r="O186" s="86">
        <f>O185*10%</f>
        <v>74000</v>
      </c>
      <c r="P186" s="92"/>
      <c r="Q186" s="92"/>
      <c r="R186" s="92"/>
      <c r="S186" s="92"/>
      <c r="T186" s="92"/>
      <c r="U186" s="92"/>
    </row>
    <row r="187" spans="1:21" ht="12.75">
      <c r="A187" s="143"/>
      <c r="B187" s="143"/>
      <c r="C187" s="152" t="s">
        <v>137</v>
      </c>
      <c r="D187" s="149"/>
      <c r="E187" s="141"/>
      <c r="F187" s="92"/>
      <c r="G187" s="92"/>
      <c r="H187" s="92"/>
      <c r="I187" s="92"/>
      <c r="J187" s="92"/>
      <c r="K187" s="92"/>
      <c r="L187" s="92"/>
      <c r="M187" s="92"/>
      <c r="N187" s="92"/>
      <c r="O187" s="92"/>
      <c r="P187" s="92"/>
      <c r="Q187" s="92"/>
      <c r="R187" s="92"/>
      <c r="S187" s="92"/>
      <c r="T187" s="92"/>
      <c r="U187" s="92"/>
    </row>
    <row r="188" spans="1:21" ht="12.75">
      <c r="A188" s="144"/>
      <c r="B188" s="144"/>
      <c r="C188" s="152" t="s">
        <v>76</v>
      </c>
      <c r="D188" s="149"/>
      <c r="E188" s="141"/>
      <c r="F188" s="92"/>
      <c r="G188" s="92"/>
      <c r="H188" s="92"/>
      <c r="I188" s="92"/>
      <c r="J188" s="92"/>
      <c r="K188" s="92"/>
      <c r="L188" s="92"/>
      <c r="M188" s="92"/>
      <c r="N188" s="92"/>
      <c r="O188" s="97">
        <f>SUM(O185:O186)</f>
        <v>814000</v>
      </c>
      <c r="P188" s="92"/>
      <c r="Q188" s="92"/>
      <c r="R188" s="92"/>
      <c r="S188" s="92"/>
      <c r="T188" s="92"/>
      <c r="U188" s="92"/>
    </row>
    <row r="189" spans="1:21" ht="12.75">
      <c r="A189" s="146">
        <v>51</v>
      </c>
      <c r="B189" s="147" t="s">
        <v>36</v>
      </c>
      <c r="C189" s="42" t="s">
        <v>77</v>
      </c>
      <c r="D189" s="18">
        <v>575000</v>
      </c>
      <c r="E189" s="18">
        <v>40</v>
      </c>
      <c r="F189" s="18">
        <f t="shared" ref="F189:F193" si="137">D189*E189</f>
        <v>23000000</v>
      </c>
      <c r="G189" s="43">
        <f t="shared" ref="G189:G209" si="138">H189/F189*100</f>
        <v>25</v>
      </c>
      <c r="H189" s="44">
        <f t="shared" ref="H189:H193" si="139">SUM(I189:U189)*D189</f>
        <v>5750000</v>
      </c>
      <c r="I189" s="95"/>
      <c r="J189" s="95"/>
      <c r="K189" s="95"/>
      <c r="L189" s="95"/>
      <c r="M189" s="98">
        <v>1</v>
      </c>
      <c r="N189" s="17">
        <v>3</v>
      </c>
      <c r="O189" s="17">
        <v>6</v>
      </c>
      <c r="P189" s="17"/>
      <c r="Q189" s="17"/>
      <c r="R189" s="17"/>
      <c r="S189" s="17"/>
      <c r="T189" s="17"/>
      <c r="U189" s="17"/>
    </row>
    <row r="190" spans="1:21" ht="12.75">
      <c r="A190" s="143"/>
      <c r="B190" s="143"/>
      <c r="C190" s="42" t="s">
        <v>111</v>
      </c>
      <c r="D190" s="18">
        <v>725000</v>
      </c>
      <c r="E190" s="18">
        <v>4</v>
      </c>
      <c r="F190" s="18">
        <f t="shared" si="137"/>
        <v>2900000</v>
      </c>
      <c r="G190" s="43">
        <f t="shared" si="138"/>
        <v>50</v>
      </c>
      <c r="H190" s="44">
        <f t="shared" si="139"/>
        <v>1450000</v>
      </c>
      <c r="I190" s="95"/>
      <c r="J190" s="95"/>
      <c r="K190" s="95"/>
      <c r="L190" s="95"/>
      <c r="M190" s="98">
        <v>0</v>
      </c>
      <c r="N190" s="17">
        <v>1</v>
      </c>
      <c r="O190" s="17">
        <v>0</v>
      </c>
      <c r="P190" s="17">
        <v>1</v>
      </c>
      <c r="Q190" s="17"/>
      <c r="R190" s="17"/>
      <c r="S190" s="17"/>
      <c r="T190" s="17"/>
      <c r="U190" s="17"/>
    </row>
    <row r="191" spans="1:21" ht="12.75">
      <c r="A191" s="143"/>
      <c r="B191" s="143"/>
      <c r="C191" s="42" t="s">
        <v>109</v>
      </c>
      <c r="D191" s="18">
        <v>900000</v>
      </c>
      <c r="E191" s="18">
        <v>12</v>
      </c>
      <c r="F191" s="18">
        <f t="shared" si="137"/>
        <v>10800000</v>
      </c>
      <c r="G191" s="43">
        <f t="shared" si="138"/>
        <v>41.666666666666671</v>
      </c>
      <c r="H191" s="44">
        <f t="shared" si="139"/>
        <v>4500000</v>
      </c>
      <c r="I191" s="95"/>
      <c r="J191" s="95"/>
      <c r="K191" s="95"/>
      <c r="L191" s="95"/>
      <c r="M191" s="98">
        <v>0</v>
      </c>
      <c r="N191" s="17">
        <v>1</v>
      </c>
      <c r="O191" s="17">
        <v>2</v>
      </c>
      <c r="P191" s="17">
        <v>2</v>
      </c>
      <c r="Q191" s="17"/>
      <c r="R191" s="17"/>
      <c r="S191" s="17"/>
      <c r="T191" s="17"/>
      <c r="U191" s="17"/>
    </row>
    <row r="192" spans="1:21" ht="12.75">
      <c r="A192" s="143"/>
      <c r="B192" s="143"/>
      <c r="C192" s="42" t="s">
        <v>112</v>
      </c>
      <c r="D192" s="18">
        <v>200000</v>
      </c>
      <c r="E192" s="18">
        <v>1</v>
      </c>
      <c r="F192" s="18">
        <f t="shared" si="137"/>
        <v>200000</v>
      </c>
      <c r="G192" s="43">
        <f t="shared" si="138"/>
        <v>100</v>
      </c>
      <c r="H192" s="44">
        <f t="shared" si="139"/>
        <v>200000</v>
      </c>
      <c r="I192" s="95"/>
      <c r="J192" s="95"/>
      <c r="K192" s="95"/>
      <c r="L192" s="95"/>
      <c r="M192" s="98">
        <v>1</v>
      </c>
      <c r="N192" s="17">
        <v>0</v>
      </c>
      <c r="O192" s="17">
        <v>0</v>
      </c>
      <c r="P192" s="17">
        <v>0</v>
      </c>
      <c r="Q192" s="17">
        <v>0</v>
      </c>
      <c r="R192" s="17">
        <v>0</v>
      </c>
      <c r="S192" s="17">
        <v>0</v>
      </c>
      <c r="T192" s="17">
        <v>0</v>
      </c>
      <c r="U192" s="17">
        <v>0</v>
      </c>
    </row>
    <row r="193" spans="1:21" ht="12.75">
      <c r="A193" s="143"/>
      <c r="B193" s="143"/>
      <c r="C193" s="87" t="s">
        <v>79</v>
      </c>
      <c r="D193" s="88">
        <v>100000</v>
      </c>
      <c r="E193" s="88">
        <v>9</v>
      </c>
      <c r="F193" s="18">
        <f t="shared" si="137"/>
        <v>900000</v>
      </c>
      <c r="G193" s="43">
        <f t="shared" si="138"/>
        <v>33.333333333333329</v>
      </c>
      <c r="H193" s="44">
        <f t="shared" si="139"/>
        <v>300000</v>
      </c>
      <c r="I193" s="95"/>
      <c r="J193" s="95"/>
      <c r="K193" s="95"/>
      <c r="L193" s="95"/>
      <c r="M193" s="98">
        <v>1</v>
      </c>
      <c r="N193" s="17">
        <v>1</v>
      </c>
      <c r="O193" s="17">
        <v>1</v>
      </c>
      <c r="P193" s="17"/>
      <c r="Q193" s="17"/>
      <c r="R193" s="17"/>
      <c r="S193" s="17"/>
      <c r="T193" s="17"/>
      <c r="U193" s="17"/>
    </row>
    <row r="194" spans="1:21" ht="12.75">
      <c r="A194" s="143"/>
      <c r="B194" s="143"/>
      <c r="C194" s="150" t="s">
        <v>74</v>
      </c>
      <c r="D194" s="149"/>
      <c r="E194" s="141"/>
      <c r="F194" s="82">
        <f>SUM(F189:F193)</f>
        <v>37800000</v>
      </c>
      <c r="G194" s="38">
        <f t="shared" si="138"/>
        <v>32.275132275132272</v>
      </c>
      <c r="H194" s="83">
        <f>SUM(H189:H193)</f>
        <v>12200000</v>
      </c>
      <c r="I194" s="41">
        <f t="shared" ref="I194:U194" si="140">$D$168*I$168+$D$169*I$169+$D$170*I$170+$D$171*I$171+$D$172*I$172+$D$173*I$173+$D$174*I$174+$D$175*I$175</f>
        <v>0</v>
      </c>
      <c r="J194" s="41">
        <f t="shared" si="140"/>
        <v>0</v>
      </c>
      <c r="K194" s="41">
        <f t="shared" si="140"/>
        <v>0</v>
      </c>
      <c r="L194" s="41">
        <f t="shared" si="140"/>
        <v>0</v>
      </c>
      <c r="M194" s="41">
        <f t="shared" si="140"/>
        <v>0</v>
      </c>
      <c r="N194" s="41">
        <f t="shared" si="140"/>
        <v>13000000</v>
      </c>
      <c r="O194" s="41">
        <f t="shared" si="140"/>
        <v>31920000</v>
      </c>
      <c r="P194" s="41">
        <f t="shared" si="140"/>
        <v>0</v>
      </c>
      <c r="Q194" s="41">
        <f t="shared" si="140"/>
        <v>0</v>
      </c>
      <c r="R194" s="41">
        <f t="shared" si="140"/>
        <v>0</v>
      </c>
      <c r="S194" s="41">
        <f t="shared" si="140"/>
        <v>0</v>
      </c>
      <c r="T194" s="41">
        <f t="shared" si="140"/>
        <v>0</v>
      </c>
      <c r="U194" s="41">
        <f t="shared" si="140"/>
        <v>0</v>
      </c>
    </row>
    <row r="195" spans="1:21" ht="12.75">
      <c r="A195" s="143"/>
      <c r="B195" s="143"/>
      <c r="C195" s="150" t="s">
        <v>75</v>
      </c>
      <c r="D195" s="149"/>
      <c r="E195" s="141"/>
      <c r="F195" s="31">
        <f>F194*0.1</f>
        <v>3780000</v>
      </c>
      <c r="G195" s="38">
        <f t="shared" si="138"/>
        <v>32.275132275132272</v>
      </c>
      <c r="H195" s="31">
        <f t="shared" ref="H195:U195" si="141">H194*0.1</f>
        <v>1220000</v>
      </c>
      <c r="I195" s="41">
        <f t="shared" si="141"/>
        <v>0</v>
      </c>
      <c r="J195" s="41">
        <f t="shared" si="141"/>
        <v>0</v>
      </c>
      <c r="K195" s="41">
        <f t="shared" si="141"/>
        <v>0</v>
      </c>
      <c r="L195" s="41">
        <f t="shared" si="141"/>
        <v>0</v>
      </c>
      <c r="M195" s="41">
        <f t="shared" si="141"/>
        <v>0</v>
      </c>
      <c r="N195" s="41">
        <f t="shared" si="141"/>
        <v>1300000</v>
      </c>
      <c r="O195" s="41">
        <f t="shared" si="141"/>
        <v>3192000</v>
      </c>
      <c r="P195" s="41">
        <f t="shared" si="141"/>
        <v>0</v>
      </c>
      <c r="Q195" s="41">
        <f t="shared" si="141"/>
        <v>0</v>
      </c>
      <c r="R195" s="41">
        <f t="shared" si="141"/>
        <v>0</v>
      </c>
      <c r="S195" s="41">
        <f t="shared" si="141"/>
        <v>0</v>
      </c>
      <c r="T195" s="41">
        <f t="shared" si="141"/>
        <v>0</v>
      </c>
      <c r="U195" s="41">
        <f t="shared" si="141"/>
        <v>0</v>
      </c>
    </row>
    <row r="196" spans="1:21" ht="12.75">
      <c r="A196" s="144"/>
      <c r="B196" s="144"/>
      <c r="C196" s="150" t="s">
        <v>76</v>
      </c>
      <c r="D196" s="149"/>
      <c r="E196" s="141"/>
      <c r="F196" s="31">
        <f>F194+F195</f>
        <v>41580000</v>
      </c>
      <c r="G196" s="38">
        <f t="shared" si="138"/>
        <v>32.275132275132272</v>
      </c>
      <c r="H196" s="31">
        <f>H194+H195</f>
        <v>13420000</v>
      </c>
      <c r="I196" s="41">
        <f t="shared" ref="I196:U196" si="142">SUM(I194:I195)</f>
        <v>0</v>
      </c>
      <c r="J196" s="41">
        <f t="shared" si="142"/>
        <v>0</v>
      </c>
      <c r="K196" s="41">
        <f t="shared" si="142"/>
        <v>0</v>
      </c>
      <c r="L196" s="41">
        <f t="shared" si="142"/>
        <v>0</v>
      </c>
      <c r="M196" s="41">
        <f t="shared" si="142"/>
        <v>0</v>
      </c>
      <c r="N196" s="41">
        <f t="shared" si="142"/>
        <v>14300000</v>
      </c>
      <c r="O196" s="41">
        <f t="shared" si="142"/>
        <v>35112000</v>
      </c>
      <c r="P196" s="41">
        <f t="shared" si="142"/>
        <v>0</v>
      </c>
      <c r="Q196" s="41">
        <f t="shared" si="142"/>
        <v>0</v>
      </c>
      <c r="R196" s="41">
        <f t="shared" si="142"/>
        <v>0</v>
      </c>
      <c r="S196" s="41">
        <f t="shared" si="142"/>
        <v>0</v>
      </c>
      <c r="T196" s="41">
        <f t="shared" si="142"/>
        <v>0</v>
      </c>
      <c r="U196" s="41">
        <f t="shared" si="142"/>
        <v>0</v>
      </c>
    </row>
    <row r="197" spans="1:21" ht="12.75">
      <c r="A197" s="145">
        <v>52</v>
      </c>
      <c r="B197" s="142" t="s">
        <v>40</v>
      </c>
      <c r="C197" s="2" t="s">
        <v>67</v>
      </c>
      <c r="D197" s="5">
        <v>1000000</v>
      </c>
      <c r="E197" s="3">
        <v>1</v>
      </c>
      <c r="F197" s="18">
        <f t="shared" ref="F197:F200" si="143">D197*E197</f>
        <v>1000000</v>
      </c>
      <c r="G197" s="50">
        <f t="shared" si="138"/>
        <v>0</v>
      </c>
      <c r="H197" s="44">
        <f t="shared" ref="H197:H200" si="144">SUM(I197:U197)*D197</f>
        <v>0</v>
      </c>
      <c r="I197" s="95"/>
      <c r="J197" s="95"/>
      <c r="K197" s="95"/>
      <c r="L197" s="95"/>
      <c r="M197" s="95"/>
      <c r="N197" s="95"/>
      <c r="O197" s="95"/>
      <c r="P197" s="3"/>
      <c r="Q197" s="3"/>
      <c r="R197" s="3"/>
      <c r="S197" s="3"/>
      <c r="T197" s="3"/>
      <c r="U197" s="3"/>
    </row>
    <row r="198" spans="1:21" ht="12.75">
      <c r="A198" s="143"/>
      <c r="B198" s="143"/>
      <c r="C198" s="2" t="s">
        <v>136</v>
      </c>
      <c r="D198" s="5">
        <v>70000</v>
      </c>
      <c r="E198" s="3">
        <v>1300</v>
      </c>
      <c r="F198" s="18">
        <f t="shared" si="143"/>
        <v>91000000</v>
      </c>
      <c r="G198" s="50">
        <f t="shared" si="138"/>
        <v>0</v>
      </c>
      <c r="H198" s="44">
        <f t="shared" si="144"/>
        <v>0</v>
      </c>
      <c r="I198" s="95"/>
      <c r="J198" s="95"/>
      <c r="K198" s="95"/>
      <c r="L198" s="95"/>
      <c r="M198" s="95"/>
      <c r="N198" s="95"/>
      <c r="O198" s="95"/>
      <c r="P198" s="3"/>
      <c r="Q198" s="3"/>
      <c r="R198" s="3"/>
      <c r="S198" s="3"/>
      <c r="T198" s="3"/>
      <c r="U198" s="3"/>
    </row>
    <row r="199" spans="1:21" ht="12.75">
      <c r="A199" s="143"/>
      <c r="B199" s="143"/>
      <c r="C199" s="2" t="s">
        <v>135</v>
      </c>
      <c r="D199" s="5">
        <v>100000</v>
      </c>
      <c r="E199" s="3">
        <v>12</v>
      </c>
      <c r="F199" s="18">
        <f t="shared" si="143"/>
        <v>1200000</v>
      </c>
      <c r="G199" s="50">
        <f t="shared" si="138"/>
        <v>0</v>
      </c>
      <c r="H199" s="44">
        <f t="shared" si="144"/>
        <v>0</v>
      </c>
      <c r="I199" s="95"/>
      <c r="J199" s="95"/>
      <c r="K199" s="95"/>
      <c r="L199" s="95"/>
      <c r="M199" s="95"/>
      <c r="N199" s="95"/>
      <c r="O199" s="95"/>
      <c r="P199" s="3"/>
      <c r="Q199" s="3"/>
      <c r="R199" s="3"/>
      <c r="S199" s="3"/>
      <c r="T199" s="3"/>
      <c r="U199" s="3"/>
    </row>
    <row r="200" spans="1:21" ht="12.75">
      <c r="A200" s="143"/>
      <c r="B200" s="143"/>
      <c r="C200" s="2" t="s">
        <v>79</v>
      </c>
      <c r="D200" s="5">
        <v>1200000</v>
      </c>
      <c r="E200" s="3">
        <v>1</v>
      </c>
      <c r="F200" s="18">
        <f t="shared" si="143"/>
        <v>1200000</v>
      </c>
      <c r="G200" s="50">
        <f t="shared" si="138"/>
        <v>0</v>
      </c>
      <c r="H200" s="44">
        <f t="shared" si="144"/>
        <v>0</v>
      </c>
      <c r="I200" s="95"/>
      <c r="J200" s="95"/>
      <c r="K200" s="95"/>
      <c r="L200" s="95"/>
      <c r="M200" s="95"/>
      <c r="N200" s="95"/>
      <c r="O200" s="95"/>
      <c r="P200" s="3"/>
      <c r="Q200" s="3"/>
      <c r="R200" s="3"/>
      <c r="S200" s="3"/>
      <c r="T200" s="3"/>
      <c r="U200" s="3"/>
    </row>
    <row r="201" spans="1:21" ht="12.75">
      <c r="A201" s="143"/>
      <c r="B201" s="143"/>
      <c r="C201" s="148" t="s">
        <v>74</v>
      </c>
      <c r="D201" s="149"/>
      <c r="E201" s="141"/>
      <c r="F201" s="78">
        <f>SUM(F197:F200)</f>
        <v>94400000</v>
      </c>
      <c r="G201" s="99">
        <f t="shared" si="138"/>
        <v>0</v>
      </c>
      <c r="H201" s="79">
        <f>SUM(H197:H200)</f>
        <v>0</v>
      </c>
      <c r="I201" s="78">
        <f t="shared" ref="I201:U201" si="145">$D$197*I$197+$D$198*I$198+$D$199*I$199+$D$200*I$200</f>
        <v>0</v>
      </c>
      <c r="J201" s="78">
        <f t="shared" si="145"/>
        <v>0</v>
      </c>
      <c r="K201" s="78">
        <f t="shared" si="145"/>
        <v>0</v>
      </c>
      <c r="L201" s="78">
        <f t="shared" si="145"/>
        <v>0</v>
      </c>
      <c r="M201" s="78">
        <f t="shared" si="145"/>
        <v>0</v>
      </c>
      <c r="N201" s="78">
        <f t="shared" si="145"/>
        <v>0</v>
      </c>
      <c r="O201" s="78">
        <f t="shared" si="145"/>
        <v>0</v>
      </c>
      <c r="P201" s="78">
        <f t="shared" si="145"/>
        <v>0</v>
      </c>
      <c r="Q201" s="78">
        <f t="shared" si="145"/>
        <v>0</v>
      </c>
      <c r="R201" s="78">
        <f t="shared" si="145"/>
        <v>0</v>
      </c>
      <c r="S201" s="78">
        <f t="shared" si="145"/>
        <v>0</v>
      </c>
      <c r="T201" s="78">
        <f t="shared" si="145"/>
        <v>0</v>
      </c>
      <c r="U201" s="78">
        <f t="shared" si="145"/>
        <v>0</v>
      </c>
    </row>
    <row r="202" spans="1:21" ht="12.75">
      <c r="A202" s="143"/>
      <c r="B202" s="143"/>
      <c r="C202" s="148" t="s">
        <v>75</v>
      </c>
      <c r="D202" s="149"/>
      <c r="E202" s="141"/>
      <c r="F202" s="78">
        <f>F201*0.1</f>
        <v>9440000</v>
      </c>
      <c r="G202" s="99">
        <f t="shared" si="138"/>
        <v>0</v>
      </c>
      <c r="H202" s="78">
        <f t="shared" ref="H202:U202" si="146">H201*0.1</f>
        <v>0</v>
      </c>
      <c r="I202" s="78">
        <f t="shared" si="146"/>
        <v>0</v>
      </c>
      <c r="J202" s="78">
        <f t="shared" si="146"/>
        <v>0</v>
      </c>
      <c r="K202" s="78">
        <f t="shared" si="146"/>
        <v>0</v>
      </c>
      <c r="L202" s="78">
        <f t="shared" si="146"/>
        <v>0</v>
      </c>
      <c r="M202" s="78">
        <f t="shared" si="146"/>
        <v>0</v>
      </c>
      <c r="N202" s="78">
        <f t="shared" si="146"/>
        <v>0</v>
      </c>
      <c r="O202" s="78">
        <f t="shared" si="146"/>
        <v>0</v>
      </c>
      <c r="P202" s="78">
        <f t="shared" si="146"/>
        <v>0</v>
      </c>
      <c r="Q202" s="78">
        <f t="shared" si="146"/>
        <v>0</v>
      </c>
      <c r="R202" s="78">
        <f t="shared" si="146"/>
        <v>0</v>
      </c>
      <c r="S202" s="78">
        <f t="shared" si="146"/>
        <v>0</v>
      </c>
      <c r="T202" s="78">
        <f t="shared" si="146"/>
        <v>0</v>
      </c>
      <c r="U202" s="78">
        <f t="shared" si="146"/>
        <v>0</v>
      </c>
    </row>
    <row r="203" spans="1:21" ht="12.75">
      <c r="A203" s="144"/>
      <c r="B203" s="144"/>
      <c r="C203" s="148" t="s">
        <v>76</v>
      </c>
      <c r="D203" s="149"/>
      <c r="E203" s="141"/>
      <c r="F203" s="78">
        <f>F201+F202</f>
        <v>103840000</v>
      </c>
      <c r="G203" s="99">
        <f t="shared" si="138"/>
        <v>0</v>
      </c>
      <c r="H203" s="79">
        <f t="shared" ref="H203:U203" si="147">H201+H202</f>
        <v>0</v>
      </c>
      <c r="I203" s="78">
        <f t="shared" si="147"/>
        <v>0</v>
      </c>
      <c r="J203" s="78">
        <f t="shared" si="147"/>
        <v>0</v>
      </c>
      <c r="K203" s="78">
        <f t="shared" si="147"/>
        <v>0</v>
      </c>
      <c r="L203" s="78">
        <f t="shared" si="147"/>
        <v>0</v>
      </c>
      <c r="M203" s="78">
        <f t="shared" si="147"/>
        <v>0</v>
      </c>
      <c r="N203" s="78">
        <f t="shared" si="147"/>
        <v>0</v>
      </c>
      <c r="O203" s="78">
        <f t="shared" si="147"/>
        <v>0</v>
      </c>
      <c r="P203" s="78">
        <f t="shared" si="147"/>
        <v>0</v>
      </c>
      <c r="Q203" s="78">
        <f t="shared" si="147"/>
        <v>0</v>
      </c>
      <c r="R203" s="78">
        <f t="shared" si="147"/>
        <v>0</v>
      </c>
      <c r="S203" s="78">
        <f t="shared" si="147"/>
        <v>0</v>
      </c>
      <c r="T203" s="78">
        <f t="shared" si="147"/>
        <v>0</v>
      </c>
      <c r="U203" s="78">
        <f t="shared" si="147"/>
        <v>0</v>
      </c>
    </row>
    <row r="204" spans="1:21" ht="12.75">
      <c r="A204" s="145">
        <v>53</v>
      </c>
      <c r="B204" s="142" t="s">
        <v>41</v>
      </c>
      <c r="C204" s="2" t="s">
        <v>136</v>
      </c>
      <c r="D204" s="5">
        <v>95000</v>
      </c>
      <c r="E204" s="3">
        <v>360</v>
      </c>
      <c r="F204" s="5">
        <f t="shared" ref="F204:F205" si="148">D204*E204</f>
        <v>34200000</v>
      </c>
      <c r="G204" s="50">
        <f t="shared" si="138"/>
        <v>0</v>
      </c>
      <c r="H204" s="44">
        <f t="shared" ref="H204:H205" si="149">SUM(I204:U204)*D204</f>
        <v>0</v>
      </c>
      <c r="I204" s="95"/>
      <c r="J204" s="95"/>
      <c r="K204" s="95"/>
      <c r="L204" s="95"/>
      <c r="M204" s="95"/>
      <c r="N204" s="95"/>
      <c r="O204" s="95"/>
      <c r="P204" s="3"/>
      <c r="Q204" s="3"/>
      <c r="R204" s="3"/>
      <c r="S204" s="3"/>
      <c r="T204" s="3"/>
      <c r="U204" s="3"/>
    </row>
    <row r="205" spans="1:21" ht="12.75">
      <c r="A205" s="143"/>
      <c r="B205" s="143"/>
      <c r="C205" s="2" t="s">
        <v>138</v>
      </c>
      <c r="D205" s="5">
        <v>150000</v>
      </c>
      <c r="E205" s="3">
        <v>12</v>
      </c>
      <c r="F205" s="5">
        <f t="shared" si="148"/>
        <v>1800000</v>
      </c>
      <c r="G205" s="50">
        <f t="shared" si="138"/>
        <v>0</v>
      </c>
      <c r="H205" s="44">
        <f t="shared" si="149"/>
        <v>0</v>
      </c>
      <c r="I205" s="95"/>
      <c r="J205" s="95"/>
      <c r="K205" s="95"/>
      <c r="L205" s="95"/>
      <c r="M205" s="95"/>
      <c r="N205" s="95"/>
      <c r="O205" s="95"/>
      <c r="P205" s="3"/>
      <c r="Q205" s="3"/>
      <c r="R205" s="3"/>
      <c r="S205" s="3"/>
      <c r="T205" s="3"/>
      <c r="U205" s="3"/>
    </row>
    <row r="206" spans="1:21" ht="12.75">
      <c r="A206" s="143"/>
      <c r="B206" s="143"/>
      <c r="C206" s="148" t="s">
        <v>74</v>
      </c>
      <c r="D206" s="149"/>
      <c r="E206" s="141"/>
      <c r="F206" s="78">
        <f>SUM(F204:F205)</f>
        <v>36000000</v>
      </c>
      <c r="G206" s="99">
        <f t="shared" si="138"/>
        <v>0</v>
      </c>
      <c r="H206" s="100">
        <f>SUM(H204:H205)</f>
        <v>0</v>
      </c>
      <c r="I206" s="78">
        <f t="shared" ref="I206:U206" si="150">$D$204*I$204+$D$205*I$205</f>
        <v>0</v>
      </c>
      <c r="J206" s="78">
        <f t="shared" si="150"/>
        <v>0</v>
      </c>
      <c r="K206" s="78">
        <f t="shared" si="150"/>
        <v>0</v>
      </c>
      <c r="L206" s="78">
        <f t="shared" si="150"/>
        <v>0</v>
      </c>
      <c r="M206" s="78">
        <f t="shared" si="150"/>
        <v>0</v>
      </c>
      <c r="N206" s="78">
        <f t="shared" si="150"/>
        <v>0</v>
      </c>
      <c r="O206" s="78">
        <f t="shared" si="150"/>
        <v>0</v>
      </c>
      <c r="P206" s="78">
        <f t="shared" si="150"/>
        <v>0</v>
      </c>
      <c r="Q206" s="78">
        <f t="shared" si="150"/>
        <v>0</v>
      </c>
      <c r="R206" s="78">
        <f t="shared" si="150"/>
        <v>0</v>
      </c>
      <c r="S206" s="78">
        <f t="shared" si="150"/>
        <v>0</v>
      </c>
      <c r="T206" s="78">
        <f t="shared" si="150"/>
        <v>0</v>
      </c>
      <c r="U206" s="78">
        <f t="shared" si="150"/>
        <v>0</v>
      </c>
    </row>
    <row r="207" spans="1:21" ht="12.75">
      <c r="A207" s="143"/>
      <c r="B207" s="143"/>
      <c r="C207" s="148" t="s">
        <v>75</v>
      </c>
      <c r="D207" s="149"/>
      <c r="E207" s="141"/>
      <c r="F207" s="78">
        <f>F206*0.1</f>
        <v>3600000</v>
      </c>
      <c r="G207" s="99">
        <f t="shared" si="138"/>
        <v>0</v>
      </c>
      <c r="H207" s="101">
        <f t="shared" ref="H207:U207" si="151">H206*0.1</f>
        <v>0</v>
      </c>
      <c r="I207" s="78">
        <f t="shared" si="151"/>
        <v>0</v>
      </c>
      <c r="J207" s="78">
        <f t="shared" si="151"/>
        <v>0</v>
      </c>
      <c r="K207" s="78">
        <f t="shared" si="151"/>
        <v>0</v>
      </c>
      <c r="L207" s="78">
        <f t="shared" si="151"/>
        <v>0</v>
      </c>
      <c r="M207" s="78">
        <f t="shared" si="151"/>
        <v>0</v>
      </c>
      <c r="N207" s="78">
        <f t="shared" si="151"/>
        <v>0</v>
      </c>
      <c r="O207" s="78">
        <f t="shared" si="151"/>
        <v>0</v>
      </c>
      <c r="P207" s="78">
        <f t="shared" si="151"/>
        <v>0</v>
      </c>
      <c r="Q207" s="78">
        <f t="shared" si="151"/>
        <v>0</v>
      </c>
      <c r="R207" s="78">
        <f t="shared" si="151"/>
        <v>0</v>
      </c>
      <c r="S207" s="78">
        <f t="shared" si="151"/>
        <v>0</v>
      </c>
      <c r="T207" s="78">
        <f t="shared" si="151"/>
        <v>0</v>
      </c>
      <c r="U207" s="78">
        <f t="shared" si="151"/>
        <v>0</v>
      </c>
    </row>
    <row r="208" spans="1:21" ht="12.75">
      <c r="A208" s="144"/>
      <c r="B208" s="144"/>
      <c r="C208" s="148" t="s">
        <v>76</v>
      </c>
      <c r="D208" s="149"/>
      <c r="E208" s="141"/>
      <c r="F208" s="78">
        <f>F206+F207</f>
        <v>39600000</v>
      </c>
      <c r="G208" s="99">
        <f t="shared" si="138"/>
        <v>0</v>
      </c>
      <c r="H208" s="100">
        <f t="shared" ref="H208:U208" si="152">H206+H207</f>
        <v>0</v>
      </c>
      <c r="I208" s="78">
        <f t="shared" si="152"/>
        <v>0</v>
      </c>
      <c r="J208" s="78">
        <f t="shared" si="152"/>
        <v>0</v>
      </c>
      <c r="K208" s="78">
        <f t="shared" si="152"/>
        <v>0</v>
      </c>
      <c r="L208" s="78">
        <f t="shared" si="152"/>
        <v>0</v>
      </c>
      <c r="M208" s="78">
        <f t="shared" si="152"/>
        <v>0</v>
      </c>
      <c r="N208" s="78">
        <f t="shared" si="152"/>
        <v>0</v>
      </c>
      <c r="O208" s="78">
        <f t="shared" si="152"/>
        <v>0</v>
      </c>
      <c r="P208" s="78">
        <f t="shared" si="152"/>
        <v>0</v>
      </c>
      <c r="Q208" s="78">
        <f t="shared" si="152"/>
        <v>0</v>
      </c>
      <c r="R208" s="78">
        <f t="shared" si="152"/>
        <v>0</v>
      </c>
      <c r="S208" s="78">
        <f t="shared" si="152"/>
        <v>0</v>
      </c>
      <c r="T208" s="78">
        <f t="shared" si="152"/>
        <v>0</v>
      </c>
      <c r="U208" s="78">
        <f t="shared" si="152"/>
        <v>0</v>
      </c>
    </row>
    <row r="209" spans="1:21" ht="12.75">
      <c r="A209" s="145">
        <v>54</v>
      </c>
      <c r="B209" s="142" t="s">
        <v>42</v>
      </c>
      <c r="C209" s="2" t="s">
        <v>67</v>
      </c>
      <c r="D209" s="5">
        <v>2500000</v>
      </c>
      <c r="E209" s="3">
        <v>1</v>
      </c>
      <c r="F209" s="5">
        <v>2500000</v>
      </c>
      <c r="G209" s="50">
        <f t="shared" si="138"/>
        <v>0</v>
      </c>
      <c r="H209" s="44">
        <f t="shared" ref="H209:H216" si="153">SUM(I209:U209)*D209</f>
        <v>0</v>
      </c>
      <c r="I209" s="95"/>
      <c r="J209" s="95"/>
      <c r="K209" s="95"/>
      <c r="L209" s="95"/>
      <c r="M209" s="95"/>
      <c r="N209" s="95"/>
      <c r="O209" s="95"/>
      <c r="P209" s="3"/>
      <c r="Q209" s="3"/>
      <c r="R209" s="3"/>
      <c r="S209" s="3"/>
      <c r="T209" s="3"/>
      <c r="U209" s="3"/>
    </row>
    <row r="210" spans="1:21" ht="12.75">
      <c r="A210" s="143"/>
      <c r="B210" s="143"/>
      <c r="C210" s="2" t="s">
        <v>139</v>
      </c>
      <c r="D210" s="5">
        <v>90000</v>
      </c>
      <c r="E210" s="2" t="s">
        <v>16</v>
      </c>
      <c r="F210" s="2" t="s">
        <v>16</v>
      </c>
      <c r="G210" s="2" t="s">
        <v>16</v>
      </c>
      <c r="H210" s="44">
        <f t="shared" si="153"/>
        <v>0</v>
      </c>
      <c r="I210" s="95"/>
      <c r="J210" s="95"/>
      <c r="K210" s="95"/>
      <c r="L210" s="95"/>
      <c r="M210" s="95"/>
      <c r="N210" s="95"/>
      <c r="O210" s="95"/>
      <c r="P210" s="3"/>
      <c r="Q210" s="3"/>
      <c r="R210" s="3"/>
      <c r="S210" s="3"/>
      <c r="T210" s="3"/>
      <c r="U210" s="3"/>
    </row>
    <row r="211" spans="1:21" ht="12.75">
      <c r="A211" s="143"/>
      <c r="B211" s="143"/>
      <c r="C211" s="2" t="s">
        <v>140</v>
      </c>
      <c r="D211" s="5">
        <v>600000</v>
      </c>
      <c r="E211" s="2" t="s">
        <v>16</v>
      </c>
      <c r="F211" s="2" t="s">
        <v>16</v>
      </c>
      <c r="G211" s="2" t="s">
        <v>16</v>
      </c>
      <c r="H211" s="44">
        <f t="shared" si="153"/>
        <v>0</v>
      </c>
      <c r="I211" s="95"/>
      <c r="J211" s="95"/>
      <c r="K211" s="95"/>
      <c r="L211" s="95"/>
      <c r="M211" s="95"/>
      <c r="N211" s="95"/>
      <c r="O211" s="95"/>
      <c r="P211" s="3"/>
      <c r="Q211" s="3"/>
      <c r="R211" s="3"/>
      <c r="S211" s="3"/>
      <c r="T211" s="3"/>
      <c r="U211" s="3"/>
    </row>
    <row r="212" spans="1:21" ht="12.75">
      <c r="A212" s="143"/>
      <c r="B212" s="143"/>
      <c r="C212" s="2" t="s">
        <v>109</v>
      </c>
      <c r="D212" s="5">
        <v>1100000</v>
      </c>
      <c r="E212" s="2" t="s">
        <v>16</v>
      </c>
      <c r="F212" s="2" t="s">
        <v>16</v>
      </c>
      <c r="G212" s="2" t="s">
        <v>16</v>
      </c>
      <c r="H212" s="44">
        <f t="shared" si="153"/>
        <v>0</v>
      </c>
      <c r="I212" s="95"/>
      <c r="J212" s="95"/>
      <c r="K212" s="95"/>
      <c r="L212" s="95"/>
      <c r="M212" s="95"/>
      <c r="N212" s="95"/>
      <c r="O212" s="95"/>
      <c r="P212" s="3"/>
      <c r="Q212" s="3"/>
      <c r="R212" s="3"/>
      <c r="S212" s="3"/>
      <c r="T212" s="3"/>
      <c r="U212" s="3"/>
    </row>
    <row r="213" spans="1:21" ht="12.75">
      <c r="A213" s="143"/>
      <c r="B213" s="143"/>
      <c r="C213" s="2" t="s">
        <v>111</v>
      </c>
      <c r="D213" s="5">
        <v>900000</v>
      </c>
      <c r="E213" s="2" t="s">
        <v>16</v>
      </c>
      <c r="F213" s="2" t="s">
        <v>16</v>
      </c>
      <c r="G213" s="2" t="s">
        <v>16</v>
      </c>
      <c r="H213" s="44">
        <f t="shared" si="153"/>
        <v>0</v>
      </c>
      <c r="I213" s="95"/>
      <c r="J213" s="95"/>
      <c r="K213" s="95"/>
      <c r="L213" s="95"/>
      <c r="M213" s="95"/>
      <c r="N213" s="95"/>
      <c r="O213" s="95"/>
      <c r="P213" s="3"/>
      <c r="Q213" s="3"/>
      <c r="R213" s="3"/>
      <c r="S213" s="3"/>
      <c r="T213" s="3"/>
      <c r="U213" s="3"/>
    </row>
    <row r="214" spans="1:21" ht="12.75">
      <c r="A214" s="143"/>
      <c r="B214" s="143"/>
      <c r="C214" s="2" t="s">
        <v>105</v>
      </c>
      <c r="D214" s="5">
        <v>300000</v>
      </c>
      <c r="E214" s="3">
        <v>1</v>
      </c>
      <c r="F214" s="5">
        <v>300000</v>
      </c>
      <c r="G214" s="50">
        <f t="shared" ref="G214:G215" si="154">H214/F214*100</f>
        <v>0</v>
      </c>
      <c r="H214" s="44">
        <f t="shared" si="153"/>
        <v>0</v>
      </c>
      <c r="I214" s="95"/>
      <c r="J214" s="95"/>
      <c r="K214" s="95"/>
      <c r="L214" s="95"/>
      <c r="M214" s="95"/>
      <c r="N214" s="95"/>
      <c r="O214" s="95"/>
      <c r="P214" s="3"/>
      <c r="Q214" s="3"/>
      <c r="R214" s="3"/>
      <c r="S214" s="3"/>
      <c r="T214" s="3"/>
      <c r="U214" s="3"/>
    </row>
    <row r="215" spans="1:21" ht="12.75">
      <c r="A215" s="143"/>
      <c r="B215" s="143"/>
      <c r="C215" s="2" t="s">
        <v>79</v>
      </c>
      <c r="D215" s="5">
        <v>200000</v>
      </c>
      <c r="E215" s="3">
        <v>12</v>
      </c>
      <c r="F215" s="5">
        <v>2400000</v>
      </c>
      <c r="G215" s="50">
        <f t="shared" si="154"/>
        <v>0</v>
      </c>
      <c r="H215" s="44">
        <f t="shared" si="153"/>
        <v>0</v>
      </c>
      <c r="I215" s="95"/>
      <c r="J215" s="95"/>
      <c r="K215" s="95"/>
      <c r="L215" s="95"/>
      <c r="M215" s="95"/>
      <c r="N215" s="95"/>
      <c r="O215" s="95"/>
      <c r="P215" s="3"/>
      <c r="Q215" s="3"/>
      <c r="R215" s="3"/>
      <c r="S215" s="3"/>
      <c r="T215" s="3"/>
      <c r="U215" s="3"/>
    </row>
    <row r="216" spans="1:21" ht="12.75">
      <c r="A216" s="143"/>
      <c r="B216" s="143"/>
      <c r="C216" s="148" t="s">
        <v>74</v>
      </c>
      <c r="D216" s="149"/>
      <c r="E216" s="141"/>
      <c r="F216" s="78">
        <v>0</v>
      </c>
      <c r="G216" s="56">
        <v>0</v>
      </c>
      <c r="H216" s="49">
        <f t="shared" si="153"/>
        <v>0</v>
      </c>
      <c r="I216" s="102">
        <f t="shared" ref="I216:U216" si="155">$D$209*I$209+$D$210*I$210+$D$211*I$211+$D$212*I$212+$D$213*I$213+$D$214*I$214+$D$215*I$215</f>
        <v>0</v>
      </c>
      <c r="J216" s="102">
        <f t="shared" si="155"/>
        <v>0</v>
      </c>
      <c r="K216" s="102">
        <f t="shared" si="155"/>
        <v>0</v>
      </c>
      <c r="L216" s="102">
        <f t="shared" si="155"/>
        <v>0</v>
      </c>
      <c r="M216" s="102">
        <f t="shared" si="155"/>
        <v>0</v>
      </c>
      <c r="N216" s="102">
        <f t="shared" si="155"/>
        <v>0</v>
      </c>
      <c r="O216" s="102">
        <f t="shared" si="155"/>
        <v>0</v>
      </c>
      <c r="P216" s="102">
        <f t="shared" si="155"/>
        <v>0</v>
      </c>
      <c r="Q216" s="102">
        <f t="shared" si="155"/>
        <v>0</v>
      </c>
      <c r="R216" s="102">
        <f t="shared" si="155"/>
        <v>0</v>
      </c>
      <c r="S216" s="102">
        <f t="shared" si="155"/>
        <v>0</v>
      </c>
      <c r="T216" s="102">
        <f t="shared" si="155"/>
        <v>0</v>
      </c>
      <c r="U216" s="102">
        <f t="shared" si="155"/>
        <v>0</v>
      </c>
    </row>
    <row r="217" spans="1:21" ht="12.75">
      <c r="A217" s="143"/>
      <c r="B217" s="143"/>
      <c r="C217" s="148" t="s">
        <v>75</v>
      </c>
      <c r="D217" s="149"/>
      <c r="E217" s="141"/>
      <c r="F217" s="78">
        <f t="shared" ref="F217:U217" si="156">F216*0.1</f>
        <v>0</v>
      </c>
      <c r="G217" s="56">
        <f t="shared" si="156"/>
        <v>0</v>
      </c>
      <c r="H217" s="78">
        <f t="shared" si="156"/>
        <v>0</v>
      </c>
      <c r="I217" s="78">
        <f t="shared" si="156"/>
        <v>0</v>
      </c>
      <c r="J217" s="78">
        <f t="shared" si="156"/>
        <v>0</v>
      </c>
      <c r="K217" s="78">
        <f t="shared" si="156"/>
        <v>0</v>
      </c>
      <c r="L217" s="78">
        <f t="shared" si="156"/>
        <v>0</v>
      </c>
      <c r="M217" s="78">
        <f t="shared" si="156"/>
        <v>0</v>
      </c>
      <c r="N217" s="78">
        <f t="shared" si="156"/>
        <v>0</v>
      </c>
      <c r="O217" s="78">
        <f t="shared" si="156"/>
        <v>0</v>
      </c>
      <c r="P217" s="78">
        <f t="shared" si="156"/>
        <v>0</v>
      </c>
      <c r="Q217" s="78">
        <f t="shared" si="156"/>
        <v>0</v>
      </c>
      <c r="R217" s="78">
        <f t="shared" si="156"/>
        <v>0</v>
      </c>
      <c r="S217" s="78">
        <f t="shared" si="156"/>
        <v>0</v>
      </c>
      <c r="T217" s="78">
        <f t="shared" si="156"/>
        <v>0</v>
      </c>
      <c r="U217" s="78">
        <f t="shared" si="156"/>
        <v>0</v>
      </c>
    </row>
    <row r="218" spans="1:21" ht="12.75">
      <c r="A218" s="144"/>
      <c r="B218" s="144"/>
      <c r="C218" s="148" t="s">
        <v>76</v>
      </c>
      <c r="D218" s="149"/>
      <c r="E218" s="141"/>
      <c r="F218" s="78">
        <f t="shared" ref="F218:U218" si="157">F216+F217</f>
        <v>0</v>
      </c>
      <c r="G218" s="56">
        <f t="shared" si="157"/>
        <v>0</v>
      </c>
      <c r="H218" s="79">
        <f t="shared" si="157"/>
        <v>0</v>
      </c>
      <c r="I218" s="78">
        <f t="shared" si="157"/>
        <v>0</v>
      </c>
      <c r="J218" s="78">
        <f t="shared" si="157"/>
        <v>0</v>
      </c>
      <c r="K218" s="78">
        <f t="shared" si="157"/>
        <v>0</v>
      </c>
      <c r="L218" s="78">
        <f t="shared" si="157"/>
        <v>0</v>
      </c>
      <c r="M218" s="78">
        <f t="shared" si="157"/>
        <v>0</v>
      </c>
      <c r="N218" s="78">
        <f t="shared" si="157"/>
        <v>0</v>
      </c>
      <c r="O218" s="78">
        <f t="shared" si="157"/>
        <v>0</v>
      </c>
      <c r="P218" s="78">
        <f t="shared" si="157"/>
        <v>0</v>
      </c>
      <c r="Q218" s="78">
        <f t="shared" si="157"/>
        <v>0</v>
      </c>
      <c r="R218" s="78">
        <f t="shared" si="157"/>
        <v>0</v>
      </c>
      <c r="S218" s="78">
        <f t="shared" si="157"/>
        <v>0</v>
      </c>
      <c r="T218" s="78">
        <f t="shared" si="157"/>
        <v>0</v>
      </c>
      <c r="U218" s="78">
        <f t="shared" si="157"/>
        <v>0</v>
      </c>
    </row>
    <row r="219" spans="1:21" ht="12.75">
      <c r="A219" s="145">
        <v>55</v>
      </c>
      <c r="B219" s="142" t="s">
        <v>141</v>
      </c>
      <c r="C219" s="2" t="s">
        <v>136</v>
      </c>
      <c r="D219" s="5">
        <v>79000</v>
      </c>
      <c r="E219" s="3">
        <v>960</v>
      </c>
      <c r="F219" s="5">
        <f t="shared" ref="F219:F220" si="158">D219*E219</f>
        <v>75840000</v>
      </c>
      <c r="G219" s="50">
        <f t="shared" ref="G219:G223" si="159">H219/F219*100</f>
        <v>0</v>
      </c>
      <c r="H219" s="44">
        <f t="shared" ref="H219:H220" si="160">SUM(I219:U219)*D219</f>
        <v>0</v>
      </c>
      <c r="I219" s="95"/>
      <c r="J219" s="95"/>
      <c r="K219" s="95"/>
      <c r="L219" s="95"/>
      <c r="M219" s="95"/>
      <c r="N219" s="95"/>
      <c r="O219" s="95"/>
      <c r="P219" s="3"/>
      <c r="Q219" s="3"/>
      <c r="R219" s="3"/>
      <c r="S219" s="3"/>
      <c r="T219" s="3"/>
      <c r="U219" s="3"/>
    </row>
    <row r="220" spans="1:21" ht="12.75">
      <c r="A220" s="143"/>
      <c r="B220" s="143"/>
      <c r="C220" s="2" t="s">
        <v>79</v>
      </c>
      <c r="D220" s="5">
        <v>100000</v>
      </c>
      <c r="E220" s="3">
        <v>12</v>
      </c>
      <c r="F220" s="5">
        <f t="shared" si="158"/>
        <v>1200000</v>
      </c>
      <c r="G220" s="50">
        <f t="shared" si="159"/>
        <v>0</v>
      </c>
      <c r="H220" s="44">
        <f t="shared" si="160"/>
        <v>0</v>
      </c>
      <c r="I220" s="95"/>
      <c r="J220" s="95"/>
      <c r="K220" s="95"/>
      <c r="L220" s="95"/>
      <c r="M220" s="95"/>
      <c r="N220" s="95"/>
      <c r="O220" s="95"/>
      <c r="P220" s="3"/>
      <c r="Q220" s="3"/>
      <c r="R220" s="3"/>
      <c r="S220" s="3"/>
      <c r="T220" s="3"/>
      <c r="U220" s="3"/>
    </row>
    <row r="221" spans="1:21" ht="12.75">
      <c r="A221" s="143"/>
      <c r="B221" s="143"/>
      <c r="C221" s="148" t="s">
        <v>74</v>
      </c>
      <c r="D221" s="149"/>
      <c r="E221" s="141"/>
      <c r="F221" s="78">
        <f>SUM(F219:F220)</f>
        <v>77040000</v>
      </c>
      <c r="G221" s="99">
        <f t="shared" si="159"/>
        <v>0</v>
      </c>
      <c r="H221" s="79">
        <f>SUM(H219:H220)</f>
        <v>0</v>
      </c>
      <c r="I221" s="102">
        <f t="shared" ref="I221:U221" si="161">$D$219*I$219+$D$220*I$220</f>
        <v>0</v>
      </c>
      <c r="J221" s="102">
        <f t="shared" si="161"/>
        <v>0</v>
      </c>
      <c r="K221" s="102">
        <f t="shared" si="161"/>
        <v>0</v>
      </c>
      <c r="L221" s="102">
        <f t="shared" si="161"/>
        <v>0</v>
      </c>
      <c r="M221" s="102">
        <f t="shared" si="161"/>
        <v>0</v>
      </c>
      <c r="N221" s="102">
        <f t="shared" si="161"/>
        <v>0</v>
      </c>
      <c r="O221" s="102">
        <f t="shared" si="161"/>
        <v>0</v>
      </c>
      <c r="P221" s="102">
        <f t="shared" si="161"/>
        <v>0</v>
      </c>
      <c r="Q221" s="102">
        <f t="shared" si="161"/>
        <v>0</v>
      </c>
      <c r="R221" s="102">
        <f t="shared" si="161"/>
        <v>0</v>
      </c>
      <c r="S221" s="102">
        <f t="shared" si="161"/>
        <v>0</v>
      </c>
      <c r="T221" s="102">
        <f t="shared" si="161"/>
        <v>0</v>
      </c>
      <c r="U221" s="102">
        <f t="shared" si="161"/>
        <v>0</v>
      </c>
    </row>
    <row r="222" spans="1:21" ht="12.75">
      <c r="A222" s="143"/>
      <c r="B222" s="143"/>
      <c r="C222" s="148" t="s">
        <v>75</v>
      </c>
      <c r="D222" s="149"/>
      <c r="E222" s="141"/>
      <c r="F222" s="78">
        <f>F221*0.1</f>
        <v>7704000</v>
      </c>
      <c r="G222" s="99">
        <f t="shared" si="159"/>
        <v>0</v>
      </c>
      <c r="H222" s="78">
        <f t="shared" ref="H222:U222" si="162">H221*0.1</f>
        <v>0</v>
      </c>
      <c r="I222" s="78">
        <f t="shared" si="162"/>
        <v>0</v>
      </c>
      <c r="J222" s="78">
        <f t="shared" si="162"/>
        <v>0</v>
      </c>
      <c r="K222" s="78">
        <f t="shared" si="162"/>
        <v>0</v>
      </c>
      <c r="L222" s="78">
        <f t="shared" si="162"/>
        <v>0</v>
      </c>
      <c r="M222" s="78">
        <f t="shared" si="162"/>
        <v>0</v>
      </c>
      <c r="N222" s="78">
        <f t="shared" si="162"/>
        <v>0</v>
      </c>
      <c r="O222" s="78">
        <f t="shared" si="162"/>
        <v>0</v>
      </c>
      <c r="P222" s="78">
        <f t="shared" si="162"/>
        <v>0</v>
      </c>
      <c r="Q222" s="78">
        <f t="shared" si="162"/>
        <v>0</v>
      </c>
      <c r="R222" s="78">
        <f t="shared" si="162"/>
        <v>0</v>
      </c>
      <c r="S222" s="78">
        <f t="shared" si="162"/>
        <v>0</v>
      </c>
      <c r="T222" s="78">
        <f t="shared" si="162"/>
        <v>0</v>
      </c>
      <c r="U222" s="78">
        <f t="shared" si="162"/>
        <v>0</v>
      </c>
    </row>
    <row r="223" spans="1:21" ht="12.75">
      <c r="A223" s="144"/>
      <c r="B223" s="144"/>
      <c r="C223" s="148" t="s">
        <v>76</v>
      </c>
      <c r="D223" s="149"/>
      <c r="E223" s="141"/>
      <c r="F223" s="78">
        <f>F221+F222</f>
        <v>84744000</v>
      </c>
      <c r="G223" s="99">
        <f t="shared" si="159"/>
        <v>0</v>
      </c>
      <c r="H223" s="79">
        <f t="shared" ref="H223:U223" si="163">H221+H222</f>
        <v>0</v>
      </c>
      <c r="I223" s="78">
        <f t="shared" si="163"/>
        <v>0</v>
      </c>
      <c r="J223" s="78">
        <f t="shared" si="163"/>
        <v>0</v>
      </c>
      <c r="K223" s="78">
        <f t="shared" si="163"/>
        <v>0</v>
      </c>
      <c r="L223" s="78">
        <f t="shared" si="163"/>
        <v>0</v>
      </c>
      <c r="M223" s="78">
        <f t="shared" si="163"/>
        <v>0</v>
      </c>
      <c r="N223" s="78">
        <f t="shared" si="163"/>
        <v>0</v>
      </c>
      <c r="O223" s="78">
        <f t="shared" si="163"/>
        <v>0</v>
      </c>
      <c r="P223" s="78">
        <f t="shared" si="163"/>
        <v>0</v>
      </c>
      <c r="Q223" s="78">
        <f t="shared" si="163"/>
        <v>0</v>
      </c>
      <c r="R223" s="78">
        <f t="shared" si="163"/>
        <v>0</v>
      </c>
      <c r="S223" s="78">
        <f t="shared" si="163"/>
        <v>0</v>
      </c>
      <c r="T223" s="78">
        <f t="shared" si="163"/>
        <v>0</v>
      </c>
      <c r="U223" s="78">
        <f t="shared" si="163"/>
        <v>0</v>
      </c>
    </row>
  </sheetData>
  <mergeCells count="164">
    <mergeCell ref="C147:E147"/>
    <mergeCell ref="C134:E134"/>
    <mergeCell ref="C135:E135"/>
    <mergeCell ref="C136:E136"/>
    <mergeCell ref="C141:E141"/>
    <mergeCell ref="C187:E187"/>
    <mergeCell ref="C188:E188"/>
    <mergeCell ref="C166:E166"/>
    <mergeCell ref="C167:E167"/>
    <mergeCell ref="C176:E176"/>
    <mergeCell ref="C177:E177"/>
    <mergeCell ref="C178:E178"/>
    <mergeCell ref="C185:E185"/>
    <mergeCell ref="C186:E186"/>
    <mergeCell ref="A2:A11"/>
    <mergeCell ref="B2:B11"/>
    <mergeCell ref="C9:E9"/>
    <mergeCell ref="C10:E10"/>
    <mergeCell ref="C11:E11"/>
    <mergeCell ref="B12:B15"/>
    <mergeCell ref="C15:E15"/>
    <mergeCell ref="C13:E13"/>
    <mergeCell ref="C14:E14"/>
    <mergeCell ref="C40:E40"/>
    <mergeCell ref="C41:E41"/>
    <mergeCell ref="C42:E42"/>
    <mergeCell ref="F16:F17"/>
    <mergeCell ref="G16:G17"/>
    <mergeCell ref="H16:H17"/>
    <mergeCell ref="C19:E19"/>
    <mergeCell ref="C20:E20"/>
    <mergeCell ref="C21:E21"/>
    <mergeCell ref="C23:E23"/>
    <mergeCell ref="C24:E24"/>
    <mergeCell ref="C25:E25"/>
    <mergeCell ref="C29:E29"/>
    <mergeCell ref="A12:A15"/>
    <mergeCell ref="A16:A21"/>
    <mergeCell ref="B16:B21"/>
    <mergeCell ref="A22:A25"/>
    <mergeCell ref="B22:B25"/>
    <mergeCell ref="A26:A31"/>
    <mergeCell ref="B26:B31"/>
    <mergeCell ref="D16:D17"/>
    <mergeCell ref="E16:E17"/>
    <mergeCell ref="C30:E30"/>
    <mergeCell ref="C31:E31"/>
    <mergeCell ref="A87:A96"/>
    <mergeCell ref="A97:A103"/>
    <mergeCell ref="A104:A111"/>
    <mergeCell ref="C78:E78"/>
    <mergeCell ref="B77:B80"/>
    <mergeCell ref="B81:B86"/>
    <mergeCell ref="B87:B96"/>
    <mergeCell ref="B97:B103"/>
    <mergeCell ref="B104:B111"/>
    <mergeCell ref="C79:E79"/>
    <mergeCell ref="C80:E80"/>
    <mergeCell ref="C84:E84"/>
    <mergeCell ref="C85:E85"/>
    <mergeCell ref="C86:E86"/>
    <mergeCell ref="C94:E94"/>
    <mergeCell ref="C95:E95"/>
    <mergeCell ref="C96:E96"/>
    <mergeCell ref="C101:E101"/>
    <mergeCell ref="C50:E50"/>
    <mergeCell ref="C51:E51"/>
    <mergeCell ref="C52:E52"/>
    <mergeCell ref="A209:A218"/>
    <mergeCell ref="A219:A223"/>
    <mergeCell ref="A142:A147"/>
    <mergeCell ref="A148:A159"/>
    <mergeCell ref="A160:A167"/>
    <mergeCell ref="A168:A178"/>
    <mergeCell ref="A179:A188"/>
    <mergeCell ref="A189:A196"/>
    <mergeCell ref="A126:A136"/>
    <mergeCell ref="A137:A141"/>
    <mergeCell ref="A197:A203"/>
    <mergeCell ref="A204:A208"/>
    <mergeCell ref="A112:A118"/>
    <mergeCell ref="A119:A125"/>
    <mergeCell ref="C102:E102"/>
    <mergeCell ref="C103:E103"/>
    <mergeCell ref="C109:E109"/>
    <mergeCell ref="C110:E110"/>
    <mergeCell ref="C111:E111"/>
    <mergeCell ref="A77:A80"/>
    <mergeCell ref="A81:A86"/>
    <mergeCell ref="C72:E72"/>
    <mergeCell ref="C74:E74"/>
    <mergeCell ref="C75:E75"/>
    <mergeCell ref="C76:E76"/>
    <mergeCell ref="C54:E54"/>
    <mergeCell ref="C55:E55"/>
    <mergeCell ref="C56:E56"/>
    <mergeCell ref="C58:E58"/>
    <mergeCell ref="C59:E59"/>
    <mergeCell ref="C60:E60"/>
    <mergeCell ref="C62:E62"/>
    <mergeCell ref="C63:E63"/>
    <mergeCell ref="C64:E64"/>
    <mergeCell ref="B209:B218"/>
    <mergeCell ref="B219:B223"/>
    <mergeCell ref="C216:E216"/>
    <mergeCell ref="C217:E217"/>
    <mergeCell ref="C218:E218"/>
    <mergeCell ref="C221:E221"/>
    <mergeCell ref="C222:E222"/>
    <mergeCell ref="C223:E223"/>
    <mergeCell ref="B137:B141"/>
    <mergeCell ref="C195:E195"/>
    <mergeCell ref="C196:E196"/>
    <mergeCell ref="B142:B147"/>
    <mergeCell ref="B148:B159"/>
    <mergeCell ref="B160:B167"/>
    <mergeCell ref="B168:B178"/>
    <mergeCell ref="B179:B188"/>
    <mergeCell ref="B189:B196"/>
    <mergeCell ref="C194:E194"/>
    <mergeCell ref="C157:E157"/>
    <mergeCell ref="C158:E158"/>
    <mergeCell ref="C159:E159"/>
    <mergeCell ref="C165:E165"/>
    <mergeCell ref="C145:E145"/>
    <mergeCell ref="C146:E146"/>
    <mergeCell ref="B197:B203"/>
    <mergeCell ref="C201:E201"/>
    <mergeCell ref="C202:E202"/>
    <mergeCell ref="C203:E203"/>
    <mergeCell ref="C206:E206"/>
    <mergeCell ref="C207:E207"/>
    <mergeCell ref="C208:E208"/>
    <mergeCell ref="A32:A42"/>
    <mergeCell ref="B32:B42"/>
    <mergeCell ref="B204:B208"/>
    <mergeCell ref="B126:B136"/>
    <mergeCell ref="C116:E116"/>
    <mergeCell ref="C117:E117"/>
    <mergeCell ref="C118:E118"/>
    <mergeCell ref="C123:E123"/>
    <mergeCell ref="B112:B118"/>
    <mergeCell ref="B119:B125"/>
    <mergeCell ref="C124:E124"/>
    <mergeCell ref="C125:E125"/>
    <mergeCell ref="C66:E66"/>
    <mergeCell ref="C67:E67"/>
    <mergeCell ref="C68:E68"/>
    <mergeCell ref="C70:E70"/>
    <mergeCell ref="C71:E71"/>
    <mergeCell ref="B43:B52"/>
    <mergeCell ref="A43:A52"/>
    <mergeCell ref="A53:A56"/>
    <mergeCell ref="A57:A60"/>
    <mergeCell ref="A61:A64"/>
    <mergeCell ref="A65:A68"/>
    <mergeCell ref="A69:A72"/>
    <mergeCell ref="A73:A76"/>
    <mergeCell ref="B53:B56"/>
    <mergeCell ref="B57:B60"/>
    <mergeCell ref="B61:B64"/>
    <mergeCell ref="B65:B68"/>
    <mergeCell ref="B69:B72"/>
    <mergeCell ref="B73:B76"/>
  </mergeCells>
  <phoneticPr fontId="15" type="noConversion"/>
  <conditionalFormatting sqref="S16">
    <cfRule type="notContainsBlanks" dxfId="0" priority="1">
      <formula>LEN(TRIM(S16))&gt;0</formula>
    </cfRule>
  </conditionalFormatting>
  <pageMargins left="0.7" right="0.7" top="0.75" bottom="0.75" header="0.3" footer="0.3"/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C15BC5-641E-4E7A-9B8B-88B08D0521D8}">
  <dimension ref="A1:C6"/>
  <sheetViews>
    <sheetView workbookViewId="0">
      <selection activeCell="D45" sqref="D45"/>
    </sheetView>
  </sheetViews>
  <sheetFormatPr defaultRowHeight="12.75"/>
  <sheetData>
    <row r="1" spans="1:3">
      <c r="A1" s="139" t="s">
        <v>186</v>
      </c>
      <c r="B1" s="139" t="s">
        <v>187</v>
      </c>
      <c r="C1" s="139" t="s">
        <v>188</v>
      </c>
    </row>
    <row r="2" spans="1:3">
      <c r="A2" s="139" t="s">
        <v>189</v>
      </c>
      <c r="B2" s="138" t="s">
        <v>192</v>
      </c>
      <c r="C2" s="139" t="s">
        <v>191</v>
      </c>
    </row>
    <row r="3" spans="1:3">
      <c r="A3" s="139" t="s">
        <v>156</v>
      </c>
      <c r="B3" s="138" t="s">
        <v>193</v>
      </c>
      <c r="C3" s="139" t="s">
        <v>191</v>
      </c>
    </row>
    <row r="4" spans="1:3">
      <c r="A4" s="139" t="s">
        <v>157</v>
      </c>
      <c r="B4" s="138" t="s">
        <v>194</v>
      </c>
      <c r="C4" s="139" t="s">
        <v>191</v>
      </c>
    </row>
    <row r="5" spans="1:3">
      <c r="A5" s="139" t="s">
        <v>158</v>
      </c>
      <c r="B5" s="138" t="s">
        <v>195</v>
      </c>
      <c r="C5" s="139" t="s">
        <v>191</v>
      </c>
    </row>
    <row r="6" spans="1:3">
      <c r="A6" s="139" t="s">
        <v>159</v>
      </c>
      <c r="B6" s="138" t="s">
        <v>190</v>
      </c>
      <c r="C6" s="139" t="s">
        <v>191</v>
      </c>
    </row>
  </sheetData>
  <phoneticPr fontId="15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outlinePr summaryBelow="0" summaryRight="0"/>
  </sheetPr>
  <dimension ref="A1:I6"/>
  <sheetViews>
    <sheetView workbookViewId="0">
      <pane ySplit="1" topLeftCell="A2" activePane="bottomLeft" state="frozen"/>
      <selection pane="bottomLeft" activeCell="B3" sqref="B3"/>
    </sheetView>
  </sheetViews>
  <sheetFormatPr defaultColWidth="12.5703125" defaultRowHeight="15.75" customHeight="1"/>
  <sheetData>
    <row r="1" spans="1:9">
      <c r="A1" s="109" t="s">
        <v>9</v>
      </c>
      <c r="B1" s="110" t="s">
        <v>10</v>
      </c>
      <c r="C1" s="110" t="s">
        <v>11</v>
      </c>
      <c r="D1" s="110" t="s">
        <v>12</v>
      </c>
      <c r="E1" s="110" t="s">
        <v>44</v>
      </c>
      <c r="F1" s="110" t="s">
        <v>45</v>
      </c>
      <c r="G1" s="110" t="s">
        <v>46</v>
      </c>
      <c r="H1" s="110" t="s">
        <v>47</v>
      </c>
      <c r="I1" s="111" t="s">
        <v>1</v>
      </c>
    </row>
    <row r="2" spans="1:9">
      <c r="A2" s="112">
        <v>152</v>
      </c>
      <c r="B2" s="113" t="s">
        <v>150</v>
      </c>
      <c r="C2" s="113" t="s">
        <v>13</v>
      </c>
      <c r="D2" s="113" t="s">
        <v>3</v>
      </c>
      <c r="E2" s="114">
        <v>220000</v>
      </c>
      <c r="F2" s="115">
        <v>45849</v>
      </c>
      <c r="G2" s="115">
        <v>45860</v>
      </c>
      <c r="H2" s="113">
        <v>1</v>
      </c>
      <c r="I2" s="116" t="s">
        <v>151</v>
      </c>
    </row>
    <row r="3" spans="1:9">
      <c r="A3" s="112">
        <v>153</v>
      </c>
      <c r="B3" s="113" t="s">
        <v>150</v>
      </c>
      <c r="C3" s="113" t="s">
        <v>13</v>
      </c>
      <c r="D3" s="113" t="s">
        <v>3</v>
      </c>
      <c r="E3" s="114">
        <v>1760000</v>
      </c>
      <c r="F3" s="115">
        <v>45849</v>
      </c>
      <c r="G3" s="115">
        <v>45860</v>
      </c>
      <c r="H3" s="113">
        <v>1</v>
      </c>
      <c r="I3" s="116" t="s">
        <v>152</v>
      </c>
    </row>
    <row r="4" spans="1:9">
      <c r="A4" s="112">
        <v>154</v>
      </c>
      <c r="B4" s="113" t="s">
        <v>150</v>
      </c>
      <c r="C4" s="113" t="s">
        <v>13</v>
      </c>
      <c r="D4" s="113" t="s">
        <v>3</v>
      </c>
      <c r="E4" s="114">
        <v>880000</v>
      </c>
      <c r="F4" s="115">
        <v>45931</v>
      </c>
      <c r="G4" s="115">
        <v>45943</v>
      </c>
      <c r="H4" s="113"/>
      <c r="I4" s="116" t="s">
        <v>153</v>
      </c>
    </row>
    <row r="5" spans="1:9">
      <c r="A5" s="112">
        <v>159</v>
      </c>
      <c r="B5" s="113" t="s">
        <v>150</v>
      </c>
      <c r="C5" s="113" t="s">
        <v>13</v>
      </c>
      <c r="D5" s="113" t="s">
        <v>3</v>
      </c>
      <c r="E5" s="114">
        <v>880000</v>
      </c>
      <c r="F5" s="115">
        <v>45931</v>
      </c>
      <c r="G5" s="115">
        <v>45982</v>
      </c>
      <c r="H5" s="113"/>
      <c r="I5" s="116" t="s">
        <v>154</v>
      </c>
    </row>
    <row r="6" spans="1:9">
      <c r="A6" s="112">
        <v>160</v>
      </c>
      <c r="B6" s="113" t="s">
        <v>150</v>
      </c>
      <c r="C6" s="113" t="s">
        <v>13</v>
      </c>
      <c r="D6" s="113" t="s">
        <v>3</v>
      </c>
      <c r="E6" s="114">
        <v>1100000</v>
      </c>
      <c r="F6" s="115">
        <v>45931</v>
      </c>
      <c r="G6" s="115">
        <v>45982</v>
      </c>
      <c r="H6" s="113"/>
      <c r="I6" s="116" t="s">
        <v>155</v>
      </c>
    </row>
  </sheetData>
  <phoneticPr fontId="15" type="noConversion"/>
  <pageMargins left="0.7" right="0.7" top="0.75" bottom="0.75" header="0.3" footer="0.3"/>
  <pageSetup paperSize="9"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4</vt:i4>
      </vt:variant>
    </vt:vector>
  </HeadingPairs>
  <TitlesOfParts>
    <vt:vector size="4" baseType="lpstr">
      <vt:lpstr>PM별(26)</vt:lpstr>
      <vt:lpstr>26 월별 실적</vt:lpstr>
      <vt:lpstr>Sheet1</vt:lpstr>
      <vt:lpstr>세부정보2-박효신-국토교통과학기술진흥원(KAIA)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modified xsi:type="dcterms:W3CDTF">2026-07-15T01:11:27Z</dcterms:modified>
</cp:coreProperties>
</file>